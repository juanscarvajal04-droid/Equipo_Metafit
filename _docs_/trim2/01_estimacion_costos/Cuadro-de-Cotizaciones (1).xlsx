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Portatil Admin" sheetId="1" r:id="rId4"/>
    <sheet state="visible" name="Portatil Nosotros" sheetId="2" r:id="rId5"/>
    <sheet state="visible" name=" Servidor Nosotros" sheetId="3" r:id="rId6"/>
    <sheet state="visible" name=" Software Esencial de Desarroll" sheetId="4" r:id="rId7"/>
    <sheet state="visible" name="windows 11 licencia" sheetId="5" r:id="rId8"/>
    <sheet state="visible" name="SQL" sheetId="6" r:id="rId9"/>
    <sheet state="visible" name="Herramientas de Desarrollador " sheetId="7" r:id="rId10"/>
    <sheet state="visible" name="Contenedores" sheetId="8" r:id="rId11"/>
    <sheet state="visible" name=" Suite de OficinaiWork " sheetId="9" r:id="rId12"/>
    <sheet state="visible" name="Certificado Nube " sheetId="10" r:id="rId13"/>
    <sheet state="visible" name="Frameworks de Backend " sheetId="11" r:id="rId14"/>
    <sheet state="visible" name=" Frameworks de front end" sheetId="12" r:id="rId15"/>
  </sheets>
  <definedNames/>
  <calcPr/>
  <extLst>
    <ext uri="GoogleSheetsCustomDataVersion2">
      <go:sheetsCustomData xmlns:go="http://customooxmlschemas.google.com/" r:id="rId16" roundtripDataChecksum="RSBWefLHkpn3lk7u8nYj3+tPGrpp+9op5CL6twHxcw0="/>
    </ext>
  </extLst>
</workbook>
</file>

<file path=xl/sharedStrings.xml><?xml version="1.0" encoding="utf-8"?>
<sst xmlns="http://schemas.openxmlformats.org/spreadsheetml/2006/main" count="366" uniqueCount="232">
  <si>
    <t>CUADRO DE COTIZACIONES</t>
  </si>
  <si>
    <t xml:space="preserve">Cuadro Comparativo de Cotizaciones </t>
  </si>
  <si>
    <t xml:space="preserve">Presupuestos (a)
</t>
  </si>
  <si>
    <r>
      <rPr>
        <rFont val="Trebuchet MS"/>
        <b/>
        <color theme="1"/>
        <sz val="10.0"/>
      </rPr>
      <t>Empresa</t>
    </r>
    <r>
      <rPr>
        <rFont val="Trebuchet MS"/>
        <b val="0"/>
        <i/>
        <color rgb="FF000000"/>
        <sz val="8.0"/>
      </rPr>
      <t xml:space="preserve">
(Nombre fiscal de la empresa)</t>
    </r>
  </si>
  <si>
    <r>
      <rPr>
        <rFont val="Trebuchet MS"/>
        <b/>
        <color theme="1"/>
        <sz val="10.0"/>
      </rPr>
      <t>Nº de CUIT, Dirección, Teléfono</t>
    </r>
    <r>
      <rPr>
        <rFont val="Trebuchet MS"/>
        <b val="0"/>
        <i/>
        <color rgb="FF000000"/>
        <sz val="10.0"/>
      </rPr>
      <t xml:space="preserve">
</t>
    </r>
    <r>
      <rPr>
        <rFont val="Trebuchet MS"/>
        <b val="0"/>
        <i/>
        <color rgb="FF000000"/>
        <sz val="8.0"/>
      </rPr>
      <t>(Datos de la empresa)</t>
    </r>
  </si>
  <si>
    <r>
      <rPr>
        <rFont val="Trebuchet MS"/>
        <b/>
        <color theme="1"/>
        <sz val="10.0"/>
      </rPr>
      <t>Descripción del
bien/ servicio (b)</t>
    </r>
    <r>
      <rPr>
        <rFont val="Trebuchet MS"/>
        <b val="0"/>
        <i/>
        <color rgb="FF000000"/>
        <sz val="10.0"/>
      </rPr>
      <t xml:space="preserve">
</t>
    </r>
    <r>
      <rPr>
        <rFont val="Trebuchet MS"/>
        <b val="0"/>
        <i/>
        <color rgb="FF000000"/>
        <sz val="8.0"/>
      </rPr>
      <t>Características de los bienes/ servicios</t>
    </r>
  </si>
  <si>
    <r>
      <rPr>
        <rFont val="Trebuchet MS"/>
        <b/>
        <color theme="1"/>
        <sz val="10.0"/>
      </rPr>
      <t xml:space="preserve">Importe Unitario
</t>
    </r>
    <r>
      <rPr>
        <rFont val="Trebuchet MS"/>
        <b val="0"/>
        <i/>
        <color rgb="FF000000"/>
        <sz val="8.0"/>
      </rPr>
      <t>(moneda nacional)</t>
    </r>
  </si>
  <si>
    <r>
      <rPr>
        <rFont val="Trebuchet MS"/>
        <b/>
        <color theme="1"/>
        <sz val="10.0"/>
        <u/>
      </rPr>
      <t>Importe Total</t>
    </r>
    <r>
      <rPr>
        <rFont val="Trebuchet MS"/>
        <b/>
        <color theme="1"/>
        <sz val="10.0"/>
        <u/>
      </rPr>
      <t xml:space="preserve">
 IVA incluido
</t>
    </r>
    <r>
      <rPr>
        <rFont val="Trebuchet MS"/>
        <b val="0"/>
        <i/>
        <color rgb="FF000000"/>
        <sz val="8.0"/>
        <u/>
      </rPr>
      <t>(moneda nacional)</t>
    </r>
  </si>
  <si>
    <r>
      <rPr>
        <rFont val="Arial"/>
        <b/>
        <color theme="1"/>
        <sz val="10.0"/>
      </rPr>
      <t xml:space="preserve">Importe Total
</t>
    </r>
    <r>
      <rPr>
        <rFont val="Arial"/>
        <b/>
        <i/>
        <color rgb="FF000000"/>
        <sz val="8.0"/>
      </rPr>
      <t>(moneda extranjera)</t>
    </r>
  </si>
  <si>
    <t>Tipo de cambio</t>
  </si>
  <si>
    <r>
      <rPr>
        <rFont val="Trebuchet MS"/>
        <b/>
        <color theme="1"/>
        <sz val="10.0"/>
      </rPr>
      <t xml:space="preserve">Forma de Pago 
</t>
    </r>
    <r>
      <rPr>
        <rFont val="Trebuchet MS"/>
        <b val="0"/>
        <i/>
        <color rgb="FF000000"/>
        <sz val="8.0"/>
      </rPr>
      <t>(Contado o Cheque)</t>
    </r>
  </si>
  <si>
    <r>
      <rPr>
        <rFont val="Trebuchet MS"/>
        <b/>
        <color theme="1"/>
        <sz val="10.0"/>
      </rPr>
      <t xml:space="preserve">Observaciones </t>
    </r>
    <r>
      <rPr>
        <rFont val="Trebuchet MS"/>
        <b val="0"/>
        <i/>
        <color rgb="FF000000"/>
        <sz val="10.0"/>
      </rPr>
      <t xml:space="preserve">
</t>
    </r>
    <r>
      <rPr>
        <rFont val="Trebuchet MS"/>
        <b val="0"/>
        <i/>
        <color rgb="FF000000"/>
        <sz val="8.0"/>
      </rPr>
      <t>(se debe incluir toda aquella característica que no ha sido posible incluir anteriormente)</t>
    </r>
  </si>
  <si>
    <t>Nº 1</t>
  </si>
  <si>
    <t xml:space="preserve">MERCADO LIBRE </t>
  </si>
  <si>
    <t>https://www.mercadolibre.com.co/mouse-gamer-vertical-inalambrico-recargable-weibo-wb-881-negro/p/MCO16051104?pdp_filters=item_id:MCO2027339616#is_advertising=true&amp;searchVariation=MCO16051104&amp;position=1&amp;search_layout=stack&amp;type=pad&amp;tracking_id=ced31c77-b65c-4671-a8f1-61f3edab0f16&amp;is_advertising=true&amp;ad_domain=VQCATCORE_LST&amp;ad_position=1&amp;ad_click_id=MWZjOWY3ZTgtZjgwNS00MmEzLTk2M2ItNGJiMDNhMjg1NDIy</t>
  </si>
  <si>
    <t>Mouse gamer vertical inalámbrico recargable Weibo WB-881 negro</t>
  </si>
  <si>
    <t xml:space="preserve">CONTADO </t>
  </si>
  <si>
    <t>Posee rueda de desplazamiento.</t>
  </si>
  <si>
    <t xml:space="preserve">Nº2 </t>
  </si>
  <si>
    <t>AMAZON</t>
  </si>
  <si>
    <t>https://www.amazon.com/AmazonBasics-Rat%C3%B3n-computadora-botones-paquete/dp/B005EJH6RW/ref=sr_1_1_ffob_sspa?adgrpid=76518563943&amp;dib=eyJ2IjoiMSJ9.caTNles2EQzXmYsVaF0sPWElmTAbfPn8TEbeABR0G9o84hDg74tGjW-PbETNTqLxtMID4w5lIQF8m7j5KPrX60kFeTUY-IKKj1s5-W9FDMVuEjmQqA7VqCEOgNUNA_RsIVY5Wx0gR5DnHe9ASAQ8M8YRAxeVn3Acejqh0tgN8ueo29TNxAiKe2N0G5LNR214HtNh2oR0UTEyycAdXVxbeQUTvX44aLr_mRDw18-JBsM.3bwOiESxFGE2avoolxd1NMyRwKpAc48tTWFOHEkuV94&amp;dib_tag=se&amp;hvadid=673177383265&amp;hvdev=c&amp;hvlocphy=1003659&amp;hvnetw=g&amp;hvqmt=b&amp;hvrand=4444607748343888028&amp;hvtargid=kwd-17170676&amp;hydadcr=750_1015168472&amp;keywords=mouse%2Bfor%2Blaptop&amp;qid=1717016842&amp;sr=8-1-spons&amp;sp_csd=d2lkZ2V0TmFtZT1zcF9hdGY&amp;th=1</t>
  </si>
  <si>
    <t>AmazonBasics Ratón de computadora con cable USB de 3 botones (negro), paquete de 1</t>
  </si>
  <si>
    <t>Ratón de computadora para navegar fácilmente por una interfaz de computadora; haga clic, desplazarse y más</t>
  </si>
  <si>
    <t>Nº 3</t>
  </si>
  <si>
    <t>EXPOCOL SUMINISTRO</t>
  </si>
  <si>
    <t>https://expocolsuministros.com/product/mouse-logitech-g-inalambrico-gaming-g305-lila/</t>
  </si>
  <si>
    <t>Mouse LOGITECH G Inalámbrico Gaming G305 Lila</t>
  </si>
  <si>
    <t>G305 puede guardar en la memoria integrada hasta 5 perfiles con hasta 5 niveles de dpi cada uno.</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</si>
  <si>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</si>
  <si>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</si>
  <si>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t>Cuadro Comparativo de Cotizaciones</t>
  </si>
  <si>
    <r>
      <rPr>
        <rFont val="Trebuchet MS"/>
        <b/>
        <color theme="1"/>
        <sz val="10.0"/>
      </rPr>
      <t>Empresa</t>
    </r>
    <r>
      <rPr>
        <rFont val="Trebuchet MS"/>
        <b val="0"/>
        <i/>
        <color rgb="FF000000"/>
        <sz val="8.0"/>
      </rPr>
      <t xml:space="preserve">
(Nombre fiscal de la empresa)</t>
    </r>
  </si>
  <si>
    <r>
      <rPr>
        <rFont val="Trebuchet MS"/>
        <b/>
        <color theme="1"/>
        <sz val="10.0"/>
      </rPr>
      <t>Nº de CUIT, Dirección, Teléfono</t>
    </r>
    <r>
      <rPr>
        <rFont val="Trebuchet MS"/>
        <b val="0"/>
        <i/>
        <color rgb="FF000000"/>
        <sz val="10.0"/>
      </rPr>
      <t xml:space="preserve">
</t>
    </r>
    <r>
      <rPr>
        <rFont val="Trebuchet MS"/>
        <b val="0"/>
        <i/>
        <color rgb="FF000000"/>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</si>
  <si>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</si>
  <si>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rgb="FF000000"/>
        <sz val="8.0"/>
      </rPr>
      <t>(moneda nacional)</t>
    </r>
  </si>
  <si>
    <r>
      <rPr>
        <rFont val="Trebuchet MS"/>
        <b/>
        <color theme="1"/>
        <sz val="10.0"/>
        <u/>
      </rPr>
      <t>Importe Total</t>
    </r>
    <r>
      <rPr>
        <rFont val="Trebuchet MS"/>
        <b/>
        <color theme="1"/>
        <sz val="10.0"/>
        <u/>
      </rPr>
      <t xml:space="preserve">
 IVA incluido
</t>
    </r>
    <r>
      <rPr>
        <rFont val="Trebuchet MS"/>
        <b val="0"/>
        <i/>
        <color rgb="FF000000"/>
        <sz val="8.0"/>
        <u/>
      </rPr>
      <t>(moneda nacional)</t>
    </r>
  </si>
  <si>
    <r>
      <rPr>
        <rFont val="Arial"/>
        <b/>
        <color theme="1"/>
        <sz val="10.0"/>
      </rPr>
      <t xml:space="preserve">Importe Total
</t>
    </r>
    <r>
      <rPr>
        <rFont val="Arial"/>
        <b val="0"/>
        <i/>
        <color rgb="FF000000"/>
        <sz val="8.0"/>
      </rPr>
      <t>(moneda extranjera)</t>
    </r>
  </si>
  <si>
    <r>
      <rPr>
        <rFont val="Trebuchet MS"/>
        <b/>
        <color theme="1"/>
        <sz val="10.0"/>
      </rPr>
      <t xml:space="preserve">Forma de Pago 
</t>
    </r>
    <r>
      <rPr>
        <rFont val="Trebuchet MS"/>
        <b val="0"/>
        <i/>
        <color rgb="FF000000"/>
        <sz val="8.0"/>
      </rPr>
      <t>(Contado o Cheque)</t>
    </r>
  </si>
  <si>
    <r>
      <rPr>
        <rFont val="Trebuchet MS"/>
        <b/>
        <color theme="1"/>
        <sz val="10.0"/>
      </rPr>
      <t xml:space="preserve">Observaciones </t>
    </r>
    <r>
      <rPr>
        <rFont val="Trebuchet MS"/>
        <b val="0"/>
        <i/>
        <color rgb="FF000000"/>
        <sz val="10.0"/>
      </rPr>
      <t xml:space="preserve">
</t>
    </r>
    <r>
      <rPr>
        <rFont val="Trebuchet MS"/>
        <b val="0"/>
        <i/>
        <color rgb="FF000000"/>
        <sz val="8.0"/>
      </rPr>
      <t>(se debe incluir toda aquella característica que no ha sido posible incluir anteriormente)</t>
    </r>
  </si>
  <si>
    <t>https://www.amazon.com/-/es/ThinkPad-procesador-pantalla-pulgadas-rendimiento/dp/B0FS9WHNQJ/ref=sr_1_3?__mk_es_US=%C3%85M%C3%85%C5%BD%C3%95%C3%91&amp;crid=2CHXIBBCY37ZR&amp;dib=eyJ2IjoiMSJ9.oa42wHFC9WQ5jY2AtYE6DPgQ6QqNxVxysCkosVuHAPZjyVFmyp-W7oZ1HsDYrGA9aFylNxIFLc30VNR8teZ_VrN7olk95VSUBkM_oaV0VVY.ScohJT2a4u1xbLnIkbU3Nq7yjq6UqXvfjFQCu_bDMTE&amp;dib_tag=se&amp;keywords=Lenovo%2BLaptop%2BThinkPad%2BX1%2BCarbon%2BGen%2B13%2C%2BIntel%2BUltra%2B7%2B255U%2C%2Bt%C3%A1ctil%2BWUXGA%2B14%22%2C%2BRAM%2B32%2BGB%2BDDR5%2C%2BSSD%2B1%2BTB&amp;nsdOptOutParam=true&amp;qid=1763658054&amp;sprefix=lenovo%2Blaptop%2Bthinkpad%2Bx1%2Bcarbon%2Bgen%2B13%2C%2Bintel%2Bultra%2B7%2B255u%2C%2Bt%C3%A1ctil%2Bwuxga%2B14%2B%2C%2Bram%2B32%2Bgb%2Bddr5%2C%2Bssd%2B1%2Btb%2Caps%2C653&amp;sr=8-3&amp;th=1</t>
  </si>
  <si>
    <t>Lenovo Laptop ThinkPad X1 Carbon Gen 13, Intel Ultra 7 255U, táctil WUXGA 14", RAM 32 GB DDR5, SSD 1 TB</t>
  </si>
  <si>
    <t>Precio más bajo en esta categoría. Importación podría demorar entrega.</t>
  </si>
  <si>
    <t>LENOVO.CO</t>
  </si>
  <si>
    <t>https://www.lenovo.com/co/es/p/portatiles/thinkpad/thinkpad-x1/thinkpad-x1-carbon-gen-13-aura-edition-14-inch-intel/21ns005glm</t>
  </si>
  <si>
    <t>Lenovo ThinkPad X1 Carbon Gen 13 Aura Edition (14" Intel)</t>
  </si>
  <si>
    <t>Compra directa al fabricante en Colombia.</t>
  </si>
  <si>
    <t>MERCADO LIBRE</t>
  </si>
  <si>
    <t>https://articulo.mercadolibre.com.co/MCO-2831412212-macbook-air-15-m4-10c-cpu-10c-gpu-24gb-ram-1-tb-ssd-_JM?searchVariation=187195158367#polycard_client=search-nordic&amp;searchVariation=187195158367&amp;search_layout=stack&amp;position=19&amp;type=item&amp;tracking_id=a9487f9a-0992-4416-92ac-5ba662abd9d6</t>
  </si>
  <si>
    <t>Macbook Air 15 M4 10c Cpu 10c Gpu 24gb Ram 1 Tb Ssd</t>
  </si>
  <si>
    <t>Esta opción incluye 1TB de SSD</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</si>
  <si>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</si>
  <si>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</si>
  <si>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rgb="FF000000"/>
        <sz val="8.0"/>
      </rPr>
      <t xml:space="preserve">
(Nombre fiscal de la empresa)</t>
    </r>
  </si>
  <si>
    <r>
      <rPr>
        <rFont val="Trebuchet MS"/>
        <b/>
        <color theme="1"/>
        <sz val="10.0"/>
      </rPr>
      <t>Nº de CUIT, Dirección, Teléfono</t>
    </r>
    <r>
      <rPr>
        <rFont val="Trebuchet MS"/>
        <b val="0"/>
        <i/>
        <color rgb="FF000000"/>
        <sz val="10.0"/>
      </rPr>
      <t xml:space="preserve">
</t>
    </r>
    <r>
      <rPr>
        <rFont val="Trebuchet MS"/>
        <b val="0"/>
        <i/>
        <color rgb="FF000000"/>
        <sz val="8.0"/>
      </rPr>
      <t>(Datos de la empresa)</t>
    </r>
  </si>
  <si>
    <r>
      <rPr>
        <rFont val="Trebuchet MS"/>
        <b/>
        <color theme="1"/>
        <sz val="10.0"/>
      </rPr>
      <t>Descripción del
bien/ servicio (b)</t>
    </r>
    <r>
      <rPr>
        <rFont val="Trebuchet MS"/>
        <b val="0"/>
        <i/>
        <color rgb="FF000000"/>
        <sz val="10.0"/>
      </rPr>
      <t xml:space="preserve">
</t>
    </r>
    <r>
      <rPr>
        <rFont val="Trebuchet MS"/>
        <b val="0"/>
        <i/>
        <color rgb="FF000000"/>
        <sz val="8.0"/>
      </rPr>
      <t>Características de los bienes/ servicios</t>
    </r>
  </si>
  <si>
    <r>
      <rPr>
        <rFont val="Trebuchet MS"/>
        <b/>
        <color theme="1"/>
        <sz val="10.0"/>
      </rPr>
      <t xml:space="preserve">Importe Unitario
</t>
    </r>
    <r>
      <rPr>
        <rFont val="Trebuchet MS"/>
        <b val="0"/>
        <i/>
        <color rgb="FF000000"/>
        <sz val="8.0"/>
      </rPr>
      <t>(moneda nacional)</t>
    </r>
  </si>
  <si>
    <r>
      <rPr>
        <rFont val="Trebuchet MS"/>
        <b/>
        <color theme="1"/>
        <sz val="10.0"/>
        <u/>
      </rPr>
      <t>Importe Total</t>
    </r>
    <r>
      <rPr>
        <rFont val="Trebuchet MS"/>
        <b/>
        <color theme="1"/>
        <sz val="10.0"/>
        <u/>
      </rPr>
      <t xml:space="preserve">
 IVA incluido
</t>
    </r>
    <r>
      <rPr>
        <rFont val="Trebuchet MS"/>
        <b val="0"/>
        <i/>
        <color rgb="FF000000"/>
        <sz val="8.0"/>
        <u/>
      </rPr>
      <t>(moneda nacional)</t>
    </r>
  </si>
  <si>
    <r>
      <rPr>
        <rFont val="Arial"/>
        <b/>
        <color theme="1"/>
        <sz val="10.0"/>
      </rPr>
      <t xml:space="preserve">Importe Total
</t>
    </r>
    <r>
      <rPr>
        <rFont val="Arial"/>
        <b val="0"/>
        <i/>
        <color rgb="FF000000"/>
        <sz val="8.0"/>
      </rPr>
      <t>(moneda extranjera)</t>
    </r>
  </si>
  <si>
    <r>
      <rPr>
        <rFont val="Trebuchet MS"/>
        <b/>
        <color theme="1"/>
        <sz val="10.0"/>
      </rPr>
      <t xml:space="preserve">Forma de Pago 
</t>
    </r>
    <r>
      <rPr>
        <rFont val="Trebuchet MS"/>
        <b val="0"/>
        <i/>
        <color rgb="FF000000"/>
        <sz val="8.0"/>
      </rPr>
      <t>(Contado o Cheque)</t>
    </r>
  </si>
  <si>
    <r>
      <rPr>
        <rFont val="Trebuchet MS"/>
        <b/>
        <color theme="1"/>
        <sz val="10.0"/>
      </rPr>
      <t xml:space="preserve">Observaciones </t>
    </r>
    <r>
      <rPr>
        <rFont val="Trebuchet MS"/>
        <b val="0"/>
        <i/>
        <color rgb="FF000000"/>
        <sz val="10.0"/>
      </rPr>
      <t xml:space="preserve">
</t>
    </r>
    <r>
      <rPr>
        <rFont val="Trebuchet MS"/>
        <b val="0"/>
        <i/>
        <color rgb="FF000000"/>
        <sz val="8.0"/>
      </rPr>
      <t>(se debe incluir toda aquella característica que no ha sido posible incluir anteriormente)</t>
    </r>
  </si>
  <si>
    <t>CUBEPATH</t>
  </si>
  <si>
    <t>https://cubepath.com/dedicated-servers&amp;dib=eyJ2IjoiMSJ9.vYi2pIIiGRBedIr2jKVR4ybPOOFZSWbEDb958QPq9NarZfdDgLhPG1rwbxctloAyzlgEiJT22MxWfeOLuojU9lMgaWCspcaWFdcfhotfIJLw4HKo4BMqEq3usCY3QITk_O9c8ve6tss3sWwYeNc004FfpXfPf7LJv1GbZxOGSii9Zo-V7IZ_1V_HKTu3oHC3by1vwuC41wtIhixDpZLzPkPqyy3a8UQThf6lEfmQBG8.ce6UuJy1KMSj4ZCWiuK1ejBTgg8_WeHUDg2rWRQxGWE&amp;dib_tag=se&amp;hvadid=685760356930&amp;hvdev=c&amp;hvlocphy=1003659&amp;hvnetw=g&amp;hvqmt=e&amp;hvrand=12856362696261638438&amp;hvtargid=kwd-333776316623&amp;hydadcr=2263_13512609&amp;keywords=servidores+computadora&amp;qid=1714839274&amp;sr=8-1-spons&amp;sp_csd=d2lkZ2V0TmFtZT1zcF9hdGY&amp;psc=1</t>
  </si>
  <si>
    <t>AMD Ryzen 7 5800X CPU: 8 cores, 16 threads, 3.8GHz base RAM: 64GB DDR4 Storage: 1 x 1TB NVMe Port: undefined Bandwidth: Unmetered Traffic KVM: Yes Setup: 5 minutes Score: 27845.0</t>
  </si>
  <si>
    <t>El servidor se encuentra ubicado en Barcelona España</t>
  </si>
  <si>
    <t>GOOGLE</t>
  </si>
  <si>
    <t>https://cloud.google.com/sql?_gl=1*1touqip*_up*MQ..&amp;gclid=CjwKCAiAlfvIBhA6EiwAcErpyfibGDyiKWXXRH10OW3uZ6TV1NJzKnNpDN3P51KUi_oGxUXVdIfKfBoCAZAQAvD_BwE&amp;gclsrc=aw.ds</t>
  </si>
  <si>
    <t xml:space="preserve">
Cloud SQL</t>
  </si>
  <si>
    <t>Los nuevos clientes reciben 300 USD en crédito gratis</t>
  </si>
  <si>
    <t>HOSTING EN COLOMBIA</t>
  </si>
  <si>
    <t>https://clientes.latinoamericahosting.com.co/store/hosting</t>
  </si>
  <si>
    <t>H3 Espacio en disco: 50 GB Transferencia: 700 GB CPU: 2 vCPU
RAM: 4 GB Dominios soportados: 3 Cuentas de email: 50 Bases de datos: 10</t>
  </si>
  <si>
    <t>El precio mas bajo de todos en la comparacion</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</si>
  <si>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</si>
  <si>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</si>
  <si>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rgb="FF000000"/>
        <sz val="8.0"/>
      </rPr>
      <t xml:space="preserve">
(Nombre fiscal de la empresa)</t>
    </r>
  </si>
  <si>
    <r>
      <rPr>
        <rFont val="Trebuchet MS"/>
        <b/>
        <color theme="1"/>
        <sz val="10.0"/>
      </rPr>
      <t>Nº de CUIT, Dirección, Teléfono</t>
    </r>
    <r>
      <rPr>
        <rFont val="Trebuchet MS"/>
        <b val="0"/>
        <i/>
        <color rgb="FF000000"/>
        <sz val="10.0"/>
      </rPr>
      <t xml:space="preserve">
</t>
    </r>
    <r>
      <rPr>
        <rFont val="Trebuchet MS"/>
        <b val="0"/>
        <i/>
        <color rgb="FF000000"/>
        <sz val="8.0"/>
      </rPr>
      <t>(Datos de la empresa)</t>
    </r>
  </si>
  <si>
    <r>
      <rPr>
        <rFont val="Trebuchet MS"/>
        <b/>
        <color theme="1"/>
        <sz val="10.0"/>
      </rPr>
      <t>Descripción del
bien/ servicio (b)</t>
    </r>
    <r>
      <rPr>
        <rFont val="Trebuchet MS"/>
        <b val="0"/>
        <i/>
        <color rgb="FF000000"/>
        <sz val="10.0"/>
      </rPr>
      <t xml:space="preserve">
</t>
    </r>
    <r>
      <rPr>
        <rFont val="Trebuchet MS"/>
        <b val="0"/>
        <i/>
        <color rgb="FF000000"/>
        <sz val="8.0"/>
      </rPr>
      <t>Características de los bienes/ servicios</t>
    </r>
  </si>
  <si>
    <r>
      <rPr>
        <rFont val="Trebuchet MS"/>
        <b/>
        <color theme="1"/>
        <sz val="10.0"/>
      </rPr>
      <t xml:space="preserve">Importe Unitario
</t>
    </r>
    <r>
      <rPr>
        <rFont val="Trebuchet MS"/>
        <b val="0"/>
        <i/>
        <color rgb="FF000000"/>
        <sz val="8.0"/>
      </rPr>
      <t>(moneda nacional)</t>
    </r>
  </si>
  <si>
    <r>
      <rPr>
        <rFont val="Trebuchet MS"/>
        <b/>
        <color theme="1"/>
        <sz val="10.0"/>
        <u/>
      </rPr>
      <t>Importe Total</t>
    </r>
    <r>
      <rPr>
        <rFont val="Trebuchet MS"/>
        <b/>
        <color theme="1"/>
        <sz val="10.0"/>
        <u/>
      </rPr>
      <t xml:space="preserve">
 IVA incluido
</t>
    </r>
    <r>
      <rPr>
        <rFont val="Trebuchet MS"/>
        <b val="0"/>
        <i/>
        <color rgb="FF000000"/>
        <sz val="8.0"/>
        <u/>
      </rPr>
      <t>(moneda nacional)</t>
    </r>
  </si>
  <si>
    <r>
      <rPr>
        <rFont val="Arial"/>
        <b/>
        <color theme="1"/>
        <sz val="10.0"/>
      </rPr>
      <t xml:space="preserve">Importe Total
</t>
    </r>
    <r>
      <rPr>
        <rFont val="Arial"/>
        <b val="0"/>
        <i/>
        <color rgb="FF000000"/>
        <sz val="8.0"/>
      </rPr>
      <t>(moneda extranjera)</t>
    </r>
  </si>
  <si>
    <r>
      <rPr>
        <rFont val="Trebuchet MS"/>
        <b/>
        <color theme="1"/>
        <sz val="10.0"/>
      </rPr>
      <t xml:space="preserve">Forma de Pago 
</t>
    </r>
    <r>
      <rPr>
        <rFont val="Trebuchet MS"/>
        <b val="0"/>
        <i/>
        <color rgb="FF000000"/>
        <sz val="8.0"/>
      </rPr>
      <t>(Contado o Cheque)</t>
    </r>
  </si>
  <si>
    <r>
      <rPr>
        <rFont val="Trebuchet MS"/>
        <b/>
        <color theme="1"/>
        <sz val="10.0"/>
      </rPr>
      <t xml:space="preserve">Observaciones </t>
    </r>
    <r>
      <rPr>
        <rFont val="Trebuchet MS"/>
        <b val="0"/>
        <i/>
        <color rgb="FF000000"/>
        <sz val="10.0"/>
      </rPr>
      <t xml:space="preserve">
</t>
    </r>
    <r>
      <rPr>
        <rFont val="Trebuchet MS"/>
        <b val="0"/>
        <i/>
        <color rgb="FF000000"/>
        <sz val="8.0"/>
      </rPr>
      <t>(se debe incluir toda aquella característica que no ha sido posible incluir anteriormente)</t>
    </r>
  </si>
  <si>
    <t>Microsoft (oficial)</t>
  </si>
  <si>
    <t>https://visualstudio.microsoft.com/es/</t>
  </si>
  <si>
    <t xml:space="preserve"> Software Esencial de Desarrollo 
VS code</t>
  </si>
  <si>
    <t>Winget (Windows Package Manager)</t>
  </si>
  <si>
    <t>https://learn.microsoft.com/es-es/windows/package-manager/winget/</t>
  </si>
  <si>
    <t>Homebrew (macOS/Linux)</t>
  </si>
  <si>
    <t>https://brew.sh/</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</si>
  <si>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</si>
  <si>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</si>
  <si>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rgb="FF000000"/>
        <sz val="8.0"/>
      </rPr>
      <t xml:space="preserve">
(Nombre fiscal de la empresa)</t>
    </r>
  </si>
  <si>
    <r>
      <rPr>
        <rFont val="Trebuchet MS"/>
        <b/>
        <color theme="1"/>
        <sz val="10.0"/>
      </rPr>
      <t>Nº de CUIT, Dirección, Teléfono</t>
    </r>
    <r>
      <rPr>
        <rFont val="Trebuchet MS"/>
        <b val="0"/>
        <i/>
        <color rgb="FF000000"/>
        <sz val="10.0"/>
      </rPr>
      <t xml:space="preserve">
</t>
    </r>
    <r>
      <rPr>
        <rFont val="Trebuchet MS"/>
        <b val="0"/>
        <i/>
        <color rgb="FF000000"/>
        <sz val="8.0"/>
      </rPr>
      <t>(Datos de la empresa)</t>
    </r>
  </si>
  <si>
    <r>
      <rPr>
        <rFont val="Trebuchet MS"/>
        <b/>
        <color theme="1"/>
        <sz val="10.0"/>
      </rPr>
      <t>Descripción del
bien/ servicio (b)</t>
    </r>
    <r>
      <rPr>
        <rFont val="Trebuchet MS"/>
        <b val="0"/>
        <i/>
        <color rgb="FF000000"/>
        <sz val="10.0"/>
      </rPr>
      <t xml:space="preserve">
</t>
    </r>
    <r>
      <rPr>
        <rFont val="Trebuchet MS"/>
        <b val="0"/>
        <i/>
        <color rgb="FF000000"/>
        <sz val="8.0"/>
      </rPr>
      <t>Características de los bienes/ servicios</t>
    </r>
  </si>
  <si>
    <r>
      <rPr>
        <rFont val="Trebuchet MS"/>
        <b/>
        <color theme="1"/>
        <sz val="10.0"/>
      </rPr>
      <t xml:space="preserve">Importe Unitario
</t>
    </r>
    <r>
      <rPr>
        <rFont val="Trebuchet MS"/>
        <b val="0"/>
        <i/>
        <color rgb="FF000000"/>
        <sz val="8.0"/>
      </rPr>
      <t>(moneda nacional)</t>
    </r>
  </si>
  <si>
    <r>
      <rPr>
        <rFont val="Trebuchet MS"/>
        <b/>
        <color theme="1"/>
        <sz val="10.0"/>
        <u/>
      </rPr>
      <t>Importe Total</t>
    </r>
    <r>
      <rPr>
        <rFont val="Trebuchet MS"/>
        <b/>
        <color theme="1"/>
        <sz val="10.0"/>
        <u/>
      </rPr>
      <t xml:space="preserve">
 IVA incluido
</t>
    </r>
    <r>
      <rPr>
        <rFont val="Trebuchet MS"/>
        <b val="0"/>
        <i/>
        <color rgb="FF000000"/>
        <sz val="8.0"/>
        <u/>
      </rPr>
      <t>(moneda nacional)</t>
    </r>
  </si>
  <si>
    <r>
      <rPr>
        <rFont val="Arial"/>
        <b/>
        <color theme="1"/>
        <sz val="10.0"/>
      </rPr>
      <t xml:space="preserve">Importe Total
</t>
    </r>
    <r>
      <rPr>
        <rFont val="Arial"/>
        <b val="0"/>
        <i/>
        <color rgb="FF000000"/>
        <sz val="8.0"/>
      </rPr>
      <t>(moneda extranjera)</t>
    </r>
  </si>
  <si>
    <r>
      <rPr>
        <rFont val="Trebuchet MS"/>
        <b/>
        <color theme="1"/>
        <sz val="10.0"/>
      </rPr>
      <t xml:space="preserve">Forma de Pago 
</t>
    </r>
    <r>
      <rPr>
        <rFont val="Trebuchet MS"/>
        <b val="0"/>
        <i/>
        <color rgb="FF000000"/>
        <sz val="8.0"/>
      </rPr>
      <t>(Contado o Cheque)</t>
    </r>
  </si>
  <si>
    <r>
      <rPr>
        <rFont val="Trebuchet MS"/>
        <b/>
        <color theme="1"/>
        <sz val="10.0"/>
      </rPr>
      <t xml:space="preserve">Observaciones </t>
    </r>
    <r>
      <rPr>
        <rFont val="Trebuchet MS"/>
        <b val="0"/>
        <i/>
        <color rgb="FF000000"/>
        <sz val="10.0"/>
      </rPr>
      <t xml:space="preserve">
</t>
    </r>
    <r>
      <rPr>
        <rFont val="Trebuchet MS"/>
        <b val="0"/>
        <i/>
        <color rgb="FF000000"/>
        <sz val="8.0"/>
      </rPr>
      <t>(se debe incluir toda aquella característica que no ha sido posible incluir anteriormente)</t>
    </r>
  </si>
  <si>
    <t>lasus</t>
  </si>
  <si>
    <t xml:space="preserve">Licencia Windows 11 Pro ESD Vitalicia
</t>
  </si>
  <si>
    <t>CONTADO</t>
  </si>
  <si>
    <t xml:space="preserve"> Colombia pc</t>
  </si>
  <si>
    <t>(305) 3676372</t>
  </si>
  <si>
    <t>MICROSOFT</t>
  </si>
  <si>
    <t>https://www.microsoft.com/es-co/</t>
  </si>
  <si>
    <t>WINDOWS 11 HOME</t>
  </si>
  <si>
    <t>El sistema operativo primordial del los computadores que se usaran para el desarrollo del sistema web</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</si>
  <si>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</si>
  <si>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</si>
  <si>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rgb="FF000000"/>
        <sz val="8.0"/>
      </rPr>
      <t xml:space="preserve">
(Nombre fiscal de la empresa)</t>
    </r>
  </si>
  <si>
    <r>
      <rPr>
        <rFont val="Trebuchet MS"/>
        <b/>
        <color theme="1"/>
        <sz val="10.0"/>
      </rPr>
      <t>Nº de CUIT, Dirección, Teléfono</t>
    </r>
    <r>
      <rPr>
        <rFont val="Trebuchet MS"/>
        <b val="0"/>
        <i/>
        <color rgb="FF000000"/>
        <sz val="10.0"/>
      </rPr>
      <t xml:space="preserve">
</t>
    </r>
    <r>
      <rPr>
        <rFont val="Trebuchet MS"/>
        <b val="0"/>
        <i/>
        <color rgb="FF000000"/>
        <sz val="8.0"/>
      </rPr>
      <t>(Datos de la empresa)</t>
    </r>
  </si>
  <si>
    <r>
      <rPr>
        <rFont val="Trebuchet MS"/>
        <b/>
        <color theme="1"/>
        <sz val="10.0"/>
      </rPr>
      <t>Descripción del
bien/ servicio (b)</t>
    </r>
    <r>
      <rPr>
        <rFont val="Trebuchet MS"/>
        <b val="0"/>
        <i/>
        <color rgb="FF000000"/>
        <sz val="10.0"/>
      </rPr>
      <t xml:space="preserve">
</t>
    </r>
    <r>
      <rPr>
        <rFont val="Trebuchet MS"/>
        <b val="0"/>
        <i/>
        <color rgb="FF000000"/>
        <sz val="8.0"/>
      </rPr>
      <t>Características de los bienes/ servicios</t>
    </r>
  </si>
  <si>
    <r>
      <rPr>
        <rFont val="Trebuchet MS"/>
        <b/>
        <color theme="1"/>
        <sz val="10.0"/>
      </rPr>
      <t xml:space="preserve">Importe Unitario
</t>
    </r>
    <r>
      <rPr>
        <rFont val="Trebuchet MS"/>
        <b val="0"/>
        <i/>
        <color rgb="FF000000"/>
        <sz val="8.0"/>
      </rPr>
      <t>(moneda nacional)</t>
    </r>
  </si>
  <si>
    <r>
      <rPr>
        <rFont val="Trebuchet MS"/>
        <b/>
        <color theme="1"/>
        <sz val="10.0"/>
        <u/>
      </rPr>
      <t>Importe Total</t>
    </r>
    <r>
      <rPr>
        <rFont val="Trebuchet MS"/>
        <b/>
        <color theme="1"/>
        <sz val="10.0"/>
        <u/>
      </rPr>
      <t xml:space="preserve">
 IVA incluido
</t>
    </r>
    <r>
      <rPr>
        <rFont val="Trebuchet MS"/>
        <b val="0"/>
        <i/>
        <color rgb="FF000000"/>
        <sz val="8.0"/>
        <u/>
      </rPr>
      <t>(moneda nacional)</t>
    </r>
  </si>
  <si>
    <r>
      <rPr>
        <rFont val="Arial"/>
        <b/>
        <color theme="1"/>
        <sz val="10.0"/>
      </rPr>
      <t xml:space="preserve">Importe Total
</t>
    </r>
    <r>
      <rPr>
        <rFont val="Arial"/>
        <b val="0"/>
        <i/>
        <color rgb="FF000000"/>
        <sz val="8.0"/>
      </rPr>
      <t>(moneda extranjera)</t>
    </r>
  </si>
  <si>
    <r>
      <rPr>
        <rFont val="Trebuchet MS"/>
        <b/>
        <color theme="1"/>
        <sz val="10.0"/>
      </rPr>
      <t xml:space="preserve">Forma de Pago 
</t>
    </r>
    <r>
      <rPr>
        <rFont val="Trebuchet MS"/>
        <b val="0"/>
        <i/>
        <color rgb="FF000000"/>
        <sz val="8.0"/>
      </rPr>
      <t>(Contado o Cheque)</t>
    </r>
  </si>
  <si>
    <r>
      <rPr>
        <rFont val="Trebuchet MS"/>
        <b/>
        <color theme="1"/>
        <sz val="10.0"/>
      </rPr>
      <t xml:space="preserve">Observaciones </t>
    </r>
    <r>
      <rPr>
        <rFont val="Trebuchet MS"/>
        <b val="0"/>
        <i/>
        <color rgb="FF000000"/>
        <sz val="10.0"/>
      </rPr>
      <t xml:space="preserve">
</t>
    </r>
    <r>
      <rPr>
        <rFont val="Trebuchet MS"/>
        <b val="0"/>
        <i/>
        <color rgb="FF000000"/>
        <sz val="8.0"/>
      </rPr>
      <t>(se debe incluir toda aquella característica que no ha sido posible incluir anteriormente)</t>
    </r>
  </si>
  <si>
    <t>PostgreSQL.org (oficial)</t>
  </si>
  <si>
    <t>https://www.postgresql.org/</t>
  </si>
  <si>
    <t>Bases de Datos PostgreSQL</t>
  </si>
  <si>
    <t>EnterpriseDB (instalador para Windows/Mac)</t>
  </si>
  <si>
    <t>https://www.enterprisedb.com/downloads/postgres-postgresql-downloads</t>
  </si>
  <si>
    <t>Homebrew / apt / yum</t>
  </si>
  <si>
    <t>https://docs.redhat.com/en/documentation/red_hat_enterprise_linux/6/html/deployment_guide/sec-configuring_yum_and_yum_repositories</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</si>
  <si>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</si>
  <si>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</si>
  <si>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rgb="FF000000"/>
        <sz val="8.0"/>
      </rPr>
      <t xml:space="preserve">
(Nombre fiscal de la empresa)</t>
    </r>
  </si>
  <si>
    <r>
      <rPr>
        <rFont val="Trebuchet MS"/>
        <b/>
        <color theme="1"/>
        <sz val="10.0"/>
      </rPr>
      <t>Nº de CUIT, Dirección, Teléfono</t>
    </r>
    <r>
      <rPr>
        <rFont val="Trebuchet MS"/>
        <b val="0"/>
        <i/>
        <color rgb="FF000000"/>
        <sz val="10.0"/>
      </rPr>
      <t xml:space="preserve">
</t>
    </r>
    <r>
      <rPr>
        <rFont val="Trebuchet MS"/>
        <b val="0"/>
        <i/>
        <color rgb="FF000000"/>
        <sz val="8.0"/>
      </rPr>
      <t>(Datos de la empresa)</t>
    </r>
  </si>
  <si>
    <r>
      <rPr>
        <rFont val="Trebuchet MS"/>
        <b/>
        <color theme="1"/>
        <sz val="10.0"/>
      </rPr>
      <t>Descripción del
bien/ servicio (b)</t>
    </r>
    <r>
      <rPr>
        <rFont val="Trebuchet MS"/>
        <b val="0"/>
        <i/>
        <color rgb="FF000000"/>
        <sz val="10.0"/>
      </rPr>
      <t xml:space="preserve">
</t>
    </r>
    <r>
      <rPr>
        <rFont val="Trebuchet MS"/>
        <b val="0"/>
        <i/>
        <color rgb="FF000000"/>
        <sz val="8.0"/>
      </rPr>
      <t>Características de los bienes/ servicios</t>
    </r>
  </si>
  <si>
    <r>
      <rPr>
        <rFont val="Trebuchet MS"/>
        <b/>
        <color theme="1"/>
        <sz val="10.0"/>
      </rPr>
      <t xml:space="preserve">Importe Unitario
</t>
    </r>
    <r>
      <rPr>
        <rFont val="Trebuchet MS"/>
        <b val="0"/>
        <i/>
        <color rgb="FF000000"/>
        <sz val="8.0"/>
      </rPr>
      <t>(moneda nacional)</t>
    </r>
  </si>
  <si>
    <r>
      <rPr>
        <rFont val="Trebuchet MS"/>
        <b/>
        <color theme="1"/>
        <sz val="10.0"/>
        <u/>
      </rPr>
      <t>Importe Total</t>
    </r>
    <r>
      <rPr>
        <rFont val="Trebuchet MS"/>
        <b/>
        <color theme="1"/>
        <sz val="10.0"/>
        <u/>
      </rPr>
      <t xml:space="preserve">
 IVA incluido
</t>
    </r>
    <r>
      <rPr>
        <rFont val="Trebuchet MS"/>
        <b val="0"/>
        <i/>
        <color rgb="FF000000"/>
        <sz val="8.0"/>
        <u/>
      </rPr>
      <t>(moneda nacional)</t>
    </r>
  </si>
  <si>
    <r>
      <rPr>
        <rFont val="Arial"/>
        <b/>
        <color theme="1"/>
        <sz val="10.0"/>
      </rPr>
      <t xml:space="preserve">Importe Total
</t>
    </r>
    <r>
      <rPr>
        <rFont val="Arial"/>
        <b/>
        <i/>
        <color rgb="FF000000"/>
        <sz val="8.0"/>
      </rPr>
      <t>(moneda extranjera)</t>
    </r>
  </si>
  <si>
    <r>
      <rPr>
        <rFont val="Trebuchet MS"/>
        <b/>
        <color theme="1"/>
        <sz val="10.0"/>
      </rPr>
      <t xml:space="preserve">Forma de Pago 
</t>
    </r>
    <r>
      <rPr>
        <rFont val="Trebuchet MS"/>
        <b val="0"/>
        <i/>
        <color rgb="FF000000"/>
        <sz val="8.0"/>
      </rPr>
      <t>(Contado o Cheque)</t>
    </r>
  </si>
  <si>
    <r>
      <rPr>
        <rFont val="Trebuchet MS"/>
        <b/>
        <color theme="1"/>
        <sz val="10.0"/>
      </rPr>
      <t xml:space="preserve">Observaciones </t>
    </r>
    <r>
      <rPr>
        <rFont val="Trebuchet MS"/>
        <b val="0"/>
        <i/>
        <color rgb="FF000000"/>
        <sz val="10.0"/>
      </rPr>
      <t xml:space="preserve">
</t>
    </r>
    <r>
      <rPr>
        <rFont val="Trebuchet MS"/>
        <b val="0"/>
        <i/>
        <color rgb="FF000000"/>
        <sz val="8.0"/>
      </rPr>
      <t>(se debe incluir toda aquella característica que no ha sido posible incluir anteriormente)</t>
    </r>
  </si>
  <si>
    <t>(Homebrew Oficial)</t>
  </si>
  <si>
    <t>https://brew.sh/es/</t>
  </si>
  <si>
    <t xml:space="preserve"> (Gestor de 
paquetes), Git</t>
  </si>
  <si>
    <t>(Github -Hombrew Repo)</t>
  </si>
  <si>
    <t>https://github.com/Homebrew/brewspons&amp;sp_csd=d2lkZ2V0TmFtZT1zcF9hdGY&amp;th=1</t>
  </si>
  <si>
    <t xml:space="preserve">MacPorts </t>
  </si>
  <si>
    <t>https://www.macports.org/</t>
  </si>
  <si>
    <t>MacPorts (alternativa equivalente)</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</si>
  <si>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</si>
  <si>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</si>
  <si>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rgb="FF000000"/>
        <sz val="8.0"/>
      </rPr>
      <t xml:space="preserve">
(Nombre fiscal de la empresa)</t>
    </r>
  </si>
  <si>
    <r>
      <rPr>
        <rFont val="Trebuchet MS"/>
        <b/>
        <color theme="1"/>
        <sz val="10.0"/>
      </rPr>
      <t>Nº de CUIT, Dirección, Teléfono</t>
    </r>
    <r>
      <rPr>
        <rFont val="Trebuchet MS"/>
        <b val="0"/>
        <i/>
        <color rgb="FF000000"/>
        <sz val="10.0"/>
      </rPr>
      <t xml:space="preserve">
</t>
    </r>
    <r>
      <rPr>
        <rFont val="Trebuchet MS"/>
        <b val="0"/>
        <i/>
        <color rgb="FF000000"/>
        <sz val="8.0"/>
      </rPr>
      <t>(Datos de la empresa)</t>
    </r>
  </si>
  <si>
    <r>
      <rPr>
        <rFont val="Trebuchet MS"/>
        <b/>
        <color theme="1"/>
        <sz val="10.0"/>
      </rPr>
      <t>Descripción del
bien/ servicio (b)</t>
    </r>
    <r>
      <rPr>
        <rFont val="Trebuchet MS"/>
        <b val="0"/>
        <i/>
        <color rgb="FF000000"/>
        <sz val="10.0"/>
      </rPr>
      <t xml:space="preserve">
</t>
    </r>
    <r>
      <rPr>
        <rFont val="Trebuchet MS"/>
        <b val="0"/>
        <i/>
        <color rgb="FF000000"/>
        <sz val="8.0"/>
      </rPr>
      <t>Características de los bienes/ servicios</t>
    </r>
  </si>
  <si>
    <r>
      <rPr>
        <rFont val="Trebuchet MS"/>
        <b/>
        <color theme="1"/>
        <sz val="10.0"/>
      </rPr>
      <t xml:space="preserve">Importe Unitario
</t>
    </r>
    <r>
      <rPr>
        <rFont val="Trebuchet MS"/>
        <b val="0"/>
        <i/>
        <color rgb="FF000000"/>
        <sz val="8.0"/>
      </rPr>
      <t>(moneda nacional)</t>
    </r>
  </si>
  <si>
    <r>
      <rPr>
        <rFont val="Trebuchet MS"/>
        <b/>
        <color theme="1"/>
        <sz val="10.0"/>
        <u/>
      </rPr>
      <t>Importe Total</t>
    </r>
    <r>
      <rPr>
        <rFont val="Trebuchet MS"/>
        <b/>
        <color theme="1"/>
        <sz val="10.0"/>
        <u/>
      </rPr>
      <t xml:space="preserve">
 IVA incluido
</t>
    </r>
    <r>
      <rPr>
        <rFont val="Trebuchet MS"/>
        <b val="0"/>
        <i/>
        <color rgb="FF000000"/>
        <sz val="8.0"/>
        <u/>
      </rPr>
      <t>(moneda nacional)</t>
    </r>
  </si>
  <si>
    <r>
      <rPr>
        <rFont val="Arial"/>
        <b/>
        <color theme="1"/>
        <sz val="10.0"/>
      </rPr>
      <t xml:space="preserve">Importe Total
</t>
    </r>
    <r>
      <rPr>
        <rFont val="Arial"/>
        <b/>
        <i/>
        <color rgb="FF000000"/>
        <sz val="8.0"/>
      </rPr>
      <t>(moneda extranjera)</t>
    </r>
  </si>
  <si>
    <r>
      <rPr>
        <rFont val="Trebuchet MS"/>
        <b/>
        <color theme="1"/>
        <sz val="10.0"/>
      </rPr>
      <t xml:space="preserve">Forma de Pago 
</t>
    </r>
    <r>
      <rPr>
        <rFont val="Trebuchet MS"/>
        <b val="0"/>
        <i/>
        <color rgb="FF000000"/>
        <sz val="8.0"/>
      </rPr>
      <t>(Contado o Cheque)</t>
    </r>
  </si>
  <si>
    <r>
      <rPr>
        <rFont val="Trebuchet MS"/>
        <b/>
        <color theme="1"/>
        <sz val="10.0"/>
      </rPr>
      <t xml:space="preserve">Observaciones </t>
    </r>
    <r>
      <rPr>
        <rFont val="Trebuchet MS"/>
        <b val="0"/>
        <i/>
        <color rgb="FF000000"/>
        <sz val="10.0"/>
      </rPr>
      <t xml:space="preserve">
</t>
    </r>
    <r>
      <rPr>
        <rFont val="Trebuchet MS"/>
        <b val="0"/>
        <i/>
        <color rgb="FF000000"/>
        <sz val="8.0"/>
      </rPr>
      <t>(se debe incluir toda aquella característica que no ha sido posible incluir anteriormente)</t>
    </r>
  </si>
  <si>
    <t>Docker Personal</t>
  </si>
  <si>
    <t>https://www.docker.com/products/personal/</t>
  </si>
  <si>
    <t>Docker Personal es gratuito para uso personal, educativo, proyectos de código abierto no comerciales y pequeñas empresas.</t>
  </si>
  <si>
    <t>Docker Pro</t>
  </si>
  <si>
    <t>https://www.docker.com/products/pro/</t>
  </si>
  <si>
    <t xml:space="preserve"> más extracciones de imágenes, más repositorios privados, más análisis de vulnerabilidad, compilaciones automatizadas simultáneas, integraciones con las herramientas CI/CD y más </t>
  </si>
  <si>
    <t>Docker Business</t>
  </si>
  <si>
    <t>https://www.docker.com/products/business/</t>
  </si>
  <si>
    <t xml:space="preserve"> ofrecen funciones y beneficios adicionales para empresas de todos los tamaños</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</si>
  <si>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</si>
  <si>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</si>
  <si>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rgb="FF000000"/>
        <sz val="8.0"/>
      </rPr>
      <t xml:space="preserve">
(Nombre fiscal de la empresa)</t>
    </r>
  </si>
  <si>
    <r>
      <rPr>
        <rFont val="Trebuchet MS"/>
        <b/>
        <color theme="1"/>
        <sz val="10.0"/>
      </rPr>
      <t>Nº de CUIT, Dirección, Teléfono</t>
    </r>
    <r>
      <rPr>
        <rFont val="Trebuchet MS"/>
        <b val="0"/>
        <i/>
        <color rgb="FF000000"/>
        <sz val="10.0"/>
      </rPr>
      <t xml:space="preserve">
</t>
    </r>
    <r>
      <rPr>
        <rFont val="Trebuchet MS"/>
        <b val="0"/>
        <i/>
        <color rgb="FF000000"/>
        <sz val="8.0"/>
      </rPr>
      <t>(Datos de la empresa)</t>
    </r>
  </si>
  <si>
    <r>
      <rPr>
        <rFont val="Trebuchet MS"/>
        <b/>
        <color theme="1"/>
        <sz val="10.0"/>
      </rPr>
      <t>Descripción del
bien/ servicio (b)</t>
    </r>
    <r>
      <rPr>
        <rFont val="Trebuchet MS"/>
        <b val="0"/>
        <i/>
        <color rgb="FF000000"/>
        <sz val="10.0"/>
      </rPr>
      <t xml:space="preserve">
</t>
    </r>
    <r>
      <rPr>
        <rFont val="Trebuchet MS"/>
        <b val="0"/>
        <i/>
        <color rgb="FF000000"/>
        <sz val="8.0"/>
      </rPr>
      <t>Características de los bienes/ servicios</t>
    </r>
  </si>
  <si>
    <r>
      <rPr>
        <rFont val="Trebuchet MS"/>
        <b/>
        <color theme="1"/>
        <sz val="10.0"/>
      </rPr>
      <t xml:space="preserve">Importe Unitario
</t>
    </r>
    <r>
      <rPr>
        <rFont val="Trebuchet MS"/>
        <b val="0"/>
        <i/>
        <color rgb="FF000000"/>
        <sz val="8.0"/>
      </rPr>
      <t>(moneda nacional)</t>
    </r>
  </si>
  <si>
    <r>
      <rPr>
        <rFont val="Trebuchet MS"/>
        <b/>
        <color theme="1"/>
        <sz val="10.0"/>
        <u/>
      </rPr>
      <t>Importe Total</t>
    </r>
    <r>
      <rPr>
        <rFont val="Trebuchet MS"/>
        <b/>
        <color theme="1"/>
        <sz val="10.0"/>
        <u/>
      </rPr>
      <t xml:space="preserve">
 IVA incluido
</t>
    </r>
    <r>
      <rPr>
        <rFont val="Trebuchet MS"/>
        <b val="0"/>
        <i/>
        <color rgb="FF000000"/>
        <sz val="8.0"/>
        <u/>
      </rPr>
      <t>(moneda nacional)</t>
    </r>
  </si>
  <si>
    <r>
      <rPr>
        <rFont val="Arial"/>
        <b/>
        <color theme="1"/>
        <sz val="10.0"/>
      </rPr>
      <t xml:space="preserve">Importe Total
</t>
    </r>
    <r>
      <rPr>
        <rFont val="Arial"/>
        <b/>
        <i/>
        <color rgb="FF000000"/>
        <sz val="8.0"/>
      </rPr>
      <t>(moneda extranjera)</t>
    </r>
  </si>
  <si>
    <r>
      <rPr>
        <rFont val="Trebuchet MS"/>
        <b/>
        <color theme="1"/>
        <sz val="10.0"/>
      </rPr>
      <t xml:space="preserve">Forma de Pago 
</t>
    </r>
    <r>
      <rPr>
        <rFont val="Trebuchet MS"/>
        <b val="0"/>
        <i/>
        <color rgb="FF000000"/>
        <sz val="8.0"/>
      </rPr>
      <t>(Contado o Cheque)</t>
    </r>
  </si>
  <si>
    <r>
      <rPr>
        <rFont val="Trebuchet MS"/>
        <b/>
        <color theme="1"/>
        <sz val="10.0"/>
      </rPr>
      <t xml:space="preserve">Observaciones </t>
    </r>
    <r>
      <rPr>
        <rFont val="Trebuchet MS"/>
        <b val="0"/>
        <i/>
        <color rgb="FF000000"/>
        <sz val="10.0"/>
      </rPr>
      <t xml:space="preserve">
</t>
    </r>
    <r>
      <rPr>
        <rFont val="Trebuchet MS"/>
        <b val="0"/>
        <i/>
        <color rgb="FF000000"/>
        <sz val="8.0"/>
      </rPr>
      <t>(se debe incluir toda aquella característica que no ha sido posible incluir anteriormente)</t>
    </r>
  </si>
  <si>
    <t>Apple App Store</t>
  </si>
  <si>
    <t>https://apps.apple.com/es/app/numbers/id409203825?mt=12</t>
  </si>
  <si>
    <t xml:space="preserve"> (Pages, 
Numbers) </t>
  </si>
  <si>
    <t>Apple.com</t>
  </si>
  <si>
    <t>https://www.apple.com/co/numbers/</t>
  </si>
  <si>
    <t>iCloud.com (versión web)</t>
  </si>
  <si>
    <t>https://www.icloud.com/numbers</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</si>
  <si>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</si>
  <si>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</si>
  <si>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rgb="FF000000"/>
        <sz val="8.0"/>
      </rPr>
      <t xml:space="preserve">
(Nombre fiscal de la empresa)</t>
    </r>
  </si>
  <si>
    <r>
      <rPr>
        <rFont val="Trebuchet MS"/>
        <b/>
        <color theme="1"/>
        <sz val="10.0"/>
      </rPr>
      <t>Nº de CUIT, Dirección, Teléfono</t>
    </r>
    <r>
      <rPr>
        <rFont val="Trebuchet MS"/>
        <b val="0"/>
        <i/>
        <color rgb="FF000000"/>
        <sz val="10.0"/>
      </rPr>
      <t xml:space="preserve">
</t>
    </r>
    <r>
      <rPr>
        <rFont val="Trebuchet MS"/>
        <b val="0"/>
        <i/>
        <color rgb="FF000000"/>
        <sz val="8.0"/>
      </rPr>
      <t>(Datos de la empresa)</t>
    </r>
  </si>
  <si>
    <r>
      <rPr>
        <rFont val="Trebuchet MS"/>
        <b/>
        <color theme="1"/>
        <sz val="10.0"/>
      </rPr>
      <t>Descripción del
bien/ servicio (b)</t>
    </r>
    <r>
      <rPr>
        <rFont val="Trebuchet MS"/>
        <b val="0"/>
        <i/>
        <color rgb="FF000000"/>
        <sz val="10.0"/>
      </rPr>
      <t xml:space="preserve">
</t>
    </r>
    <r>
      <rPr>
        <rFont val="Trebuchet MS"/>
        <b val="0"/>
        <i/>
        <color rgb="FF000000"/>
        <sz val="8.0"/>
      </rPr>
      <t>Características de los bienes/ servicios</t>
    </r>
  </si>
  <si>
    <r>
      <rPr>
        <rFont val="Trebuchet MS"/>
        <b/>
        <color theme="1"/>
        <sz val="10.0"/>
      </rPr>
      <t xml:space="preserve">Importe Unitario
</t>
    </r>
    <r>
      <rPr>
        <rFont val="Trebuchet MS"/>
        <b val="0"/>
        <i/>
        <color rgb="FF000000"/>
        <sz val="8.0"/>
      </rPr>
      <t>(moneda nacional)</t>
    </r>
  </si>
  <si>
    <r>
      <rPr>
        <rFont val="Trebuchet MS"/>
        <b/>
        <color theme="1"/>
        <sz val="10.0"/>
        <u/>
      </rPr>
      <t>Importe Total</t>
    </r>
    <r>
      <rPr>
        <rFont val="Trebuchet MS"/>
        <b/>
        <color theme="1"/>
        <sz val="10.0"/>
        <u/>
      </rPr>
      <t xml:space="preserve">
 IVA incluido
</t>
    </r>
    <r>
      <rPr>
        <rFont val="Trebuchet MS"/>
        <b val="0"/>
        <i/>
        <color rgb="FF000000"/>
        <sz val="8.0"/>
        <u/>
      </rPr>
      <t>(moneda nacional)</t>
    </r>
  </si>
  <si>
    <r>
      <rPr>
        <rFont val="Arial"/>
        <b/>
        <color theme="1"/>
        <sz val="10.0"/>
      </rPr>
      <t xml:space="preserve">Importe Total
</t>
    </r>
    <r>
      <rPr>
        <rFont val="Arial"/>
        <b/>
        <i/>
        <color rgb="FF000000"/>
        <sz val="8.0"/>
      </rPr>
      <t>(moneda extranjera)</t>
    </r>
  </si>
  <si>
    <r>
      <rPr>
        <rFont val="Trebuchet MS"/>
        <b/>
        <color theme="1"/>
        <sz val="10.0"/>
      </rPr>
      <t xml:space="preserve">Forma de Pago 
</t>
    </r>
    <r>
      <rPr>
        <rFont val="Trebuchet MS"/>
        <b val="0"/>
        <i/>
        <color rgb="FF000000"/>
        <sz val="8.0"/>
      </rPr>
      <t>(Contado o Cheque)</t>
    </r>
  </si>
  <si>
    <r>
      <rPr>
        <rFont val="Trebuchet MS"/>
        <b/>
        <color theme="1"/>
        <sz val="10.0"/>
      </rPr>
      <t xml:space="preserve">Observaciones </t>
    </r>
    <r>
      <rPr>
        <rFont val="Trebuchet MS"/>
        <b val="0"/>
        <i/>
        <color rgb="FF000000"/>
        <sz val="10.0"/>
      </rPr>
      <t xml:space="preserve">
</t>
    </r>
    <r>
      <rPr>
        <rFont val="Trebuchet MS"/>
        <b val="0"/>
        <i/>
        <color rgb="FF000000"/>
        <sz val="8.0"/>
      </rPr>
      <t>(se debe incluir toda aquella característica que no ha sido posible incluir anteriormente)</t>
    </r>
  </si>
  <si>
    <t>AWS</t>
  </si>
  <si>
    <t>https://skillbuilder.aws/category/style/live-classroom-training</t>
  </si>
  <si>
    <t xml:space="preserve"> (Básico)AWS 
Certified Cloud Practitioner / 
Azure Fundamentals</t>
  </si>
  <si>
    <t>Microsoft Azure</t>
  </si>
  <si>
    <t>https://azure.microsoft.com/es-mx/pricing/purchase-options/azure-account/search?icid=free-search&amp;ef_id=_k_Cj0KCQiAoZDJBhC0ARIsAERP-F9cNDYt4cMAPQXWYTT0ONyx1SmzzL61Iny73veZ53Qy1sYMj11ad3EaAkpXEALw_wcB_k_&amp;OCID=AIDcmm3804ythc_SEM__k_Cj0KCQiAoZDJBhC0ARIsAERP-F9cNDYt4cMAPQXWYTT0ONyx1SmzzL61Iny73veZ53Qy1sYMj11ad3EaAkpXEALw_wcB_k_&amp;gad_source=1&amp;gad_campaignid=1634425126&amp;gbraid=0AAAAADcJh_tdBW0kkkZQXRQ3Y7iVMHZYP&amp;gclid=Cj0KCQiAoZDJBhC0ARIsAERP-F9cNDYt4cMAPQXWYTT0ONyx1SmzzL61Iny73veZ53Qy1sYMj11ad3EaAkpXEALw_wcB</t>
  </si>
  <si>
    <t xml:space="preserve">  (Básico)AWS 
Certified Cloud Practitioner / 
Azure Fundamentals</t>
  </si>
  <si>
    <t>Amazon / Coursera / Udemy (Cursos básicos)</t>
  </si>
  <si>
    <t>https://aws.amazon.com/es/blogs/training-and-certification/new-aws-cloud-technology-consultant-professional-certificate-now-available-on-coursera/</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</si>
  <si>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</si>
  <si>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</si>
  <si>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rgb="FF000000"/>
        <sz val="8.0"/>
      </rPr>
      <t xml:space="preserve">
(Nombre fiscal de la empresa)</t>
    </r>
  </si>
  <si>
    <r>
      <rPr>
        <rFont val="Trebuchet MS"/>
        <b/>
        <color theme="1"/>
        <sz val="10.0"/>
      </rPr>
      <t>Nº de CUIT, Dirección, Teléfono</t>
    </r>
    <r>
      <rPr>
        <rFont val="Trebuchet MS"/>
        <b val="0"/>
        <i/>
        <color rgb="FF000000"/>
        <sz val="10.0"/>
      </rPr>
      <t xml:space="preserve">
</t>
    </r>
    <r>
      <rPr>
        <rFont val="Trebuchet MS"/>
        <b val="0"/>
        <i/>
        <color rgb="FF000000"/>
        <sz val="8.0"/>
      </rPr>
      <t>(Datos de la empresa)</t>
    </r>
  </si>
  <si>
    <r>
      <rPr>
        <rFont val="Trebuchet MS"/>
        <b/>
        <color theme="1"/>
        <sz val="10.0"/>
      </rPr>
      <t>Descripción del
bien/ servicio (b)</t>
    </r>
    <r>
      <rPr>
        <rFont val="Trebuchet MS"/>
        <b val="0"/>
        <i/>
        <color rgb="FF000000"/>
        <sz val="10.0"/>
      </rPr>
      <t xml:space="preserve">
</t>
    </r>
    <r>
      <rPr>
        <rFont val="Trebuchet MS"/>
        <b val="0"/>
        <i/>
        <color rgb="FF000000"/>
        <sz val="8.0"/>
      </rPr>
      <t>Características de los bienes/ servicios</t>
    </r>
  </si>
  <si>
    <r>
      <rPr>
        <rFont val="Trebuchet MS"/>
        <b/>
        <color theme="1"/>
        <sz val="10.0"/>
      </rPr>
      <t xml:space="preserve">Importe Unitario
</t>
    </r>
    <r>
      <rPr>
        <rFont val="Trebuchet MS"/>
        <b val="0"/>
        <i/>
        <color rgb="FF000000"/>
        <sz val="8.0"/>
      </rPr>
      <t>(moneda nacional)</t>
    </r>
  </si>
  <si>
    <r>
      <rPr>
        <rFont val="Trebuchet MS"/>
        <b/>
        <color theme="1"/>
        <sz val="10.0"/>
        <u/>
      </rPr>
      <t>Importe Total</t>
    </r>
    <r>
      <rPr>
        <rFont val="Trebuchet MS"/>
        <b/>
        <color theme="1"/>
        <sz val="10.0"/>
        <u/>
      </rPr>
      <t xml:space="preserve">
 IVA incluido
</t>
    </r>
    <r>
      <rPr>
        <rFont val="Trebuchet MS"/>
        <b val="0"/>
        <i/>
        <color rgb="FF000000"/>
        <sz val="8.0"/>
        <u/>
      </rPr>
      <t>(moneda nacional)</t>
    </r>
  </si>
  <si>
    <r>
      <rPr>
        <rFont val="Arial"/>
        <b/>
        <color theme="1"/>
        <sz val="10.0"/>
      </rPr>
      <t xml:space="preserve">Importe Total
</t>
    </r>
    <r>
      <rPr>
        <rFont val="Arial"/>
        <b/>
        <i/>
        <color rgb="FF000000"/>
        <sz val="8.0"/>
      </rPr>
      <t>(moneda extranjera)</t>
    </r>
  </si>
  <si>
    <r>
      <rPr>
        <rFont val="Trebuchet MS"/>
        <b/>
        <color theme="1"/>
        <sz val="10.0"/>
      </rPr>
      <t xml:space="preserve">Forma de Pago 
</t>
    </r>
    <r>
      <rPr>
        <rFont val="Trebuchet MS"/>
        <b val="0"/>
        <i/>
        <color rgb="FF000000"/>
        <sz val="8.0"/>
      </rPr>
      <t>(Contado o Cheque)</t>
    </r>
  </si>
  <si>
    <r>
      <rPr>
        <rFont val="Trebuchet MS"/>
        <b/>
        <color theme="1"/>
        <sz val="10.0"/>
      </rPr>
      <t xml:space="preserve">Observaciones </t>
    </r>
    <r>
      <rPr>
        <rFont val="Trebuchet MS"/>
        <b val="0"/>
        <i/>
        <color rgb="FF000000"/>
        <sz val="10.0"/>
      </rPr>
      <t xml:space="preserve">
</t>
    </r>
    <r>
      <rPr>
        <rFont val="Trebuchet MS"/>
        <b val="0"/>
        <i/>
        <color rgb="FF000000"/>
        <sz val="8.0"/>
      </rPr>
      <t>(se debe incluir toda aquella característica que no ha sido posible incluir anteriormente)</t>
    </r>
  </si>
  <si>
    <t>Spring.io (oficial)</t>
  </si>
  <si>
    <t>https://spring.io/projects/spring-boot</t>
  </si>
  <si>
    <t>Maven Central</t>
  </si>
  <si>
    <t>https://mvnrepository.com/artifact/org.springframework.boot/spring-boot</t>
  </si>
  <si>
    <t>Homebrew / SDKMAN</t>
  </si>
  <si>
    <t>https://sdkman.io/sdks/</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</si>
  <si>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</si>
  <si>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</si>
  <si>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rgb="FF000000"/>
        <sz val="8.0"/>
      </rPr>
      <t xml:space="preserve">
(Nombre fiscal de la empresa)</t>
    </r>
  </si>
  <si>
    <r>
      <rPr>
        <rFont val="Trebuchet MS"/>
        <b/>
        <color theme="1"/>
        <sz val="10.0"/>
      </rPr>
      <t>Nº de CUIT, Dirección, Teléfono</t>
    </r>
    <r>
      <rPr>
        <rFont val="Trebuchet MS"/>
        <b val="0"/>
        <i/>
        <color rgb="FF000000"/>
        <sz val="10.0"/>
      </rPr>
      <t xml:space="preserve">
</t>
    </r>
    <r>
      <rPr>
        <rFont val="Trebuchet MS"/>
        <b val="0"/>
        <i/>
        <color rgb="FF000000"/>
        <sz val="8.0"/>
      </rPr>
      <t>(Datos de la empresa)</t>
    </r>
  </si>
  <si>
    <r>
      <rPr>
        <rFont val="Trebuchet MS"/>
        <b/>
        <color theme="1"/>
        <sz val="10.0"/>
      </rPr>
      <t>Descripción del
bien/ servicio (b)</t>
    </r>
    <r>
      <rPr>
        <rFont val="Trebuchet MS"/>
        <b val="0"/>
        <i/>
        <color rgb="FF000000"/>
        <sz val="10.0"/>
      </rPr>
      <t xml:space="preserve">
</t>
    </r>
    <r>
      <rPr>
        <rFont val="Trebuchet MS"/>
        <b val="0"/>
        <i/>
        <color rgb="FF000000"/>
        <sz val="8.0"/>
      </rPr>
      <t>Características de los bienes/ servicios</t>
    </r>
  </si>
  <si>
    <r>
      <rPr>
        <rFont val="Trebuchet MS"/>
        <b/>
        <color theme="1"/>
        <sz val="10.0"/>
      </rPr>
      <t xml:space="preserve">Importe Unitario
</t>
    </r>
    <r>
      <rPr>
        <rFont val="Trebuchet MS"/>
        <b val="0"/>
        <i/>
        <color rgb="FF000000"/>
        <sz val="8.0"/>
      </rPr>
      <t>(moneda nacional)</t>
    </r>
  </si>
  <si>
    <r>
      <rPr>
        <rFont val="Trebuchet MS"/>
        <b/>
        <color theme="1"/>
        <sz val="10.0"/>
        <u/>
      </rPr>
      <t>Importe Total</t>
    </r>
    <r>
      <rPr>
        <rFont val="Trebuchet MS"/>
        <b/>
        <color theme="1"/>
        <sz val="10.0"/>
        <u/>
      </rPr>
      <t xml:space="preserve">
 IVA incluido
</t>
    </r>
    <r>
      <rPr>
        <rFont val="Trebuchet MS"/>
        <b val="0"/>
        <i/>
        <color rgb="FF000000"/>
        <sz val="8.0"/>
        <u/>
      </rPr>
      <t>(moneda nacional)</t>
    </r>
  </si>
  <si>
    <r>
      <rPr>
        <rFont val="Arial"/>
        <b/>
        <color theme="1"/>
        <sz val="10.0"/>
      </rPr>
      <t xml:space="preserve">Importe Total
</t>
    </r>
    <r>
      <rPr>
        <rFont val="Arial"/>
        <b/>
        <i/>
        <color rgb="FF000000"/>
        <sz val="8.0"/>
      </rPr>
      <t>(moneda extranjera)</t>
    </r>
  </si>
  <si>
    <r>
      <rPr>
        <rFont val="Trebuchet MS"/>
        <b/>
        <color theme="1"/>
        <sz val="10.0"/>
      </rPr>
      <t xml:space="preserve">Forma de Pago 
</t>
    </r>
    <r>
      <rPr>
        <rFont val="Trebuchet MS"/>
        <b val="0"/>
        <i/>
        <color rgb="FF000000"/>
        <sz val="8.0"/>
      </rPr>
      <t>(Contado o Cheque)</t>
    </r>
  </si>
  <si>
    <r>
      <rPr>
        <rFont val="Trebuchet MS"/>
        <b/>
        <color theme="1"/>
        <sz val="10.0"/>
      </rPr>
      <t xml:space="preserve">Observaciones </t>
    </r>
    <r>
      <rPr>
        <rFont val="Trebuchet MS"/>
        <b val="0"/>
        <i/>
        <color rgb="FF000000"/>
        <sz val="10.0"/>
      </rPr>
      <t xml:space="preserve">
</t>
    </r>
    <r>
      <rPr>
        <rFont val="Trebuchet MS"/>
        <b val="0"/>
        <i/>
        <color rgb="FF000000"/>
        <sz val="8.0"/>
      </rPr>
      <t>(se debe incluir toda aquella característica que no ha sido posible incluir anteriormente)</t>
    </r>
  </si>
  <si>
    <t>ReactJS.org (oficial)</t>
  </si>
  <si>
    <t>https://es.legacy.reactjs.org/</t>
  </si>
  <si>
    <t xml:space="preserve">JavaScriptReact </t>
  </si>
  <si>
    <t>NPM (Node Package Manager)</t>
  </si>
  <si>
    <t>https://docs.npmjs.com/downloading-and-installing-node-js-and-npm</t>
  </si>
  <si>
    <t>CDN JS / Unpkg</t>
  </si>
  <si>
    <t>https://app.unpkg.com/cdnjs@0.3.2</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</si>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</sst>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_-[$$-240A]\ * #,##0.00_-;\-[$$-240A]\ * #,##0.00_-;_-[$$-240A]\ * &quot;-&quot;??_-;_-@"/>
    <numFmt numFmtId="165" formatCode="_([$$-409]* #,##0.00_);_([$$-409]* \(#,##0.00\);_([$$-409]* &quot;-&quot;??_);_(@_)"/>
    <numFmt numFmtId="166" formatCode="_-[$$-409]* #,##0.00_ ;_-[$$-409]* \-#,##0.00\ ;_-[$$-409]* &quot;-&quot;??_ ;_-@_ "/>
    <numFmt numFmtId="167" formatCode="_(&quot;$&quot;* #,##0.00_);_(&quot;$&quot;* \(#,##0.00\);_(&quot;$&quot;* &quot;-&quot;??_);_(@_)"/>
  </numFmts>
  <fonts count="29">
    <font>
      <sz val="10.0"/>
      <color rgb="FF000000"/>
      <name val="Arial"/>
      <scheme val="minor"/>
    </font>
    <font>
      <b/>
      <sz val="12.0"/>
      <color theme="1"/>
      <name val="Arial"/>
    </font>
    <font/>
    <font>
      <b/>
      <sz val="10.0"/>
      <color theme="1"/>
      <name val="Arial"/>
    </font>
    <font>
      <b/>
      <sz val="10.0"/>
      <color theme="1"/>
      <name val="Trebuchet MS"/>
    </font>
    <font>
      <b/>
      <u/>
      <sz val="10.0"/>
      <color theme="1"/>
      <name val="Trebuchet MS"/>
    </font>
    <font>
      <i/>
      <sz val="10.0"/>
      <color theme="1"/>
      <name val="Arial"/>
    </font>
    <font>
      <sz val="10.0"/>
      <color rgb="FF000000"/>
      <name val="Arial"/>
    </font>
    <font>
      <u/>
      <sz val="10.0"/>
      <color theme="10"/>
      <name val="Arial"/>
    </font>
    <font>
      <u/>
      <sz val="10.0"/>
      <color rgb="FF000000"/>
      <name val="Arial"/>
    </font>
    <font>
      <sz val="10.0"/>
      <color theme="1"/>
      <name val="Arial"/>
    </font>
    <font>
      <u/>
      <sz val="10.0"/>
      <color rgb="FF000000"/>
      <name val="Arial"/>
    </font>
    <font>
      <sz val="10.0"/>
      <color rgb="FF231F20"/>
      <name val="Arial"/>
    </font>
    <font>
      <sz val="10.0"/>
      <color rgb="FF0F1111"/>
      <name val="Arial"/>
    </font>
    <font>
      <sz val="10.0"/>
      <color rgb="FF666666"/>
      <name val="Arial"/>
    </font>
    <font>
      <sz val="10.0"/>
      <color theme="1"/>
      <name val="Trebuchet MS"/>
    </font>
    <font>
      <color theme="1"/>
      <name val="Arial"/>
      <scheme val="minor"/>
    </font>
    <font>
      <sz val="10.0"/>
      <color theme="1"/>
      <name val="Arial Narrow"/>
    </font>
    <font>
      <u/>
      <sz val="10.0"/>
      <color rgb="FF800080"/>
      <name val="Arial"/>
    </font>
    <font>
      <u/>
      <sz val="10.0"/>
      <color rgb="FF000000"/>
      <name val="Arial"/>
    </font>
    <font>
      <sz val="10.0"/>
      <color rgb="FF444444"/>
      <name val="Arial"/>
    </font>
    <font>
      <u/>
      <sz val="10.0"/>
      <color theme="1"/>
      <name val="Arial"/>
    </font>
    <font>
      <u/>
      <sz val="10.0"/>
      <color theme="10"/>
      <name val="Arial"/>
    </font>
    <font>
      <u/>
      <sz val="10.0"/>
      <color theme="1"/>
      <name val="Arial"/>
    </font>
    <font>
      <sz val="9.0"/>
      <color theme="1"/>
      <name val="Arial"/>
    </font>
    <font>
      <u/>
      <sz val="9.0"/>
      <color theme="1"/>
      <name val="Arial"/>
    </font>
    <font>
      <u/>
      <sz val="10.0"/>
      <color theme="1"/>
      <name val="Arial"/>
    </font>
    <font>
      <u/>
      <sz val="10.0"/>
      <color rgb="FF0000FF"/>
      <name val="Arial"/>
    </font>
    <font>
      <b/>
      <sz val="10.0"/>
      <color rgb="FF666666"/>
      <name val="Arial"/>
    </font>
  </fonts>
  <fills count="10">
    <fill>
      <patternFill patternType="none"/>
    </fill>
    <fill>
      <patternFill patternType="lightGray"/>
    </fill>
    <fill>
      <patternFill patternType="solid">
        <fgColor rgb="FFC0C0C0"/>
        <bgColor rgb="FFC0C0C0"/>
      </patternFill>
    </fill>
    <fill>
      <patternFill patternType="solid">
        <fgColor rgb="FFFFFF99"/>
        <bgColor rgb="FFFFFF99"/>
      </patternFill>
    </fill>
    <fill>
      <patternFill patternType="solid">
        <fgColor rgb="FFFFCC00"/>
        <bgColor rgb="FFFFCC00"/>
      </patternFill>
    </fill>
    <fill>
      <patternFill patternType="solid">
        <fgColor rgb="FFCCFFCC"/>
        <bgColor rgb="FFCCFFCC"/>
      </patternFill>
    </fill>
    <fill>
      <patternFill patternType="solid">
        <fgColor rgb="FFFFFFFF"/>
        <bgColor rgb="FFFFFFFF"/>
      </patternFill>
    </fill>
    <fill>
      <patternFill patternType="solid">
        <fgColor rgb="FFF5F5F5"/>
        <bgColor rgb="FFF5F5F5"/>
      </patternFill>
    </fill>
    <fill>
      <patternFill patternType="solid">
        <fgColor rgb="FFEFEFEF"/>
        <bgColor rgb="FFEFEFEF"/>
      </patternFill>
    </fill>
    <fill>
      <patternFill patternType="solid">
        <fgColor rgb="FFF8F8F8"/>
        <bgColor rgb="FFF8F8F8"/>
      </patternFill>
    </fill>
  </fills>
  <borders count="11">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top style="thin">
        <color rgb="FF000000"/>
      </top>
      <bottom/>
    </border>
    <border>
      <left style="thin">
        <color rgb="FF000000"/>
      </left>
      <right/>
      <top style="thin">
        <color rgb="FF000000"/>
      </top>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65">
    <xf borderId="0" fillId="0" fontId="0" numFmtId="0" xfId="0" applyAlignment="1" applyFont="1">
      <alignment readingOrder="0" shrinkToFit="0" vertical="bottom" wrapText="0"/>
    </xf>
    <xf borderId="0" fillId="0" fontId="1" numFmtId="0" xfId="0" applyAlignment="1" applyFont="1">
      <alignment horizontal="center" vertical="center"/>
    </xf>
    <xf borderId="1" fillId="2" fontId="1" numFmtId="0" xfId="0" applyAlignment="1" applyBorder="1" applyFill="1" applyFont="1">
      <alignment horizontal="center" shrinkToFit="0" vertical="center" wrapText="1"/>
    </xf>
    <xf borderId="2" fillId="0" fontId="2" numFmtId="0" xfId="0" applyBorder="1" applyFont="1"/>
    <xf borderId="3" fillId="0" fontId="2" numFmtId="0" xfId="0" applyBorder="1" applyFont="1"/>
    <xf borderId="4" fillId="3" fontId="3" numFmtId="0" xfId="0" applyAlignment="1" applyBorder="1" applyFill="1" applyFont="1">
      <alignment horizontal="center" shrinkToFit="0" vertical="center" wrapText="1"/>
    </xf>
    <xf borderId="5" fillId="0" fontId="4" numFmtId="0" xfId="0" applyAlignment="1" applyBorder="1" applyFont="1">
      <alignment horizontal="center" shrinkToFit="0" vertical="center" wrapText="1"/>
    </xf>
    <xf borderId="6" fillId="4" fontId="5" numFmtId="0" xfId="0" applyAlignment="1" applyBorder="1" applyFill="1" applyFont="1">
      <alignment horizontal="center" shrinkToFit="0" vertical="center" wrapText="1"/>
    </xf>
    <xf borderId="7" fillId="5" fontId="3" numFmtId="0" xfId="0" applyAlignment="1" applyBorder="1" applyFill="1" applyFont="1">
      <alignment horizontal="center" shrinkToFit="0" vertical="center" wrapText="1"/>
    </xf>
    <xf borderId="0" fillId="0" fontId="6" numFmtId="0" xfId="0" applyAlignment="1" applyFont="1">
      <alignment horizontal="center" vertical="center"/>
    </xf>
    <xf borderId="1" fillId="0" fontId="3" numFmtId="0" xfId="0" applyAlignment="1" applyBorder="1" applyFont="1">
      <alignment horizontal="center" vertical="center"/>
    </xf>
    <xf borderId="4" fillId="0" fontId="7" numFmtId="0" xfId="0" applyAlignment="1" applyBorder="1" applyFont="1">
      <alignment horizontal="center" shrinkToFit="0" vertical="center" wrapText="1"/>
    </xf>
    <xf borderId="4" fillId="0" fontId="8" numFmtId="0" xfId="0" applyAlignment="1" applyBorder="1" applyFont="1">
      <alignment horizontal="center" shrinkToFit="0" vertical="center" wrapText="1"/>
    </xf>
    <xf borderId="4" fillId="0" fontId="9" numFmtId="0" xfId="0" applyAlignment="1" applyBorder="1" applyFont="1">
      <alignment horizontal="center" shrinkToFit="0" vertical="center" wrapText="1"/>
    </xf>
    <xf borderId="4" fillId="6" fontId="7" numFmtId="164" xfId="0" applyAlignment="1" applyBorder="1" applyFill="1" applyFont="1" applyNumberFormat="1">
      <alignment horizontal="center" shrinkToFit="0" vertical="center" wrapText="1"/>
    </xf>
    <xf borderId="4" fillId="0" fontId="7" numFmtId="164" xfId="0" applyAlignment="1" applyBorder="1" applyFont="1" applyNumberFormat="1">
      <alignment horizontal="center" shrinkToFit="0" vertical="center" wrapText="1"/>
    </xf>
    <xf borderId="4" fillId="0" fontId="10" numFmtId="165" xfId="0" applyAlignment="1" applyBorder="1" applyFont="1" applyNumberFormat="1">
      <alignment horizontal="center" shrinkToFit="0" vertical="top" wrapText="1"/>
    </xf>
    <xf borderId="8" fillId="6" fontId="11" numFmtId="166" xfId="0" applyAlignment="1" applyBorder="1" applyFont="1" applyNumberFormat="1">
      <alignment horizontal="center" shrinkToFit="0" vertical="center" wrapText="1"/>
    </xf>
    <xf borderId="4" fillId="0" fontId="7" numFmtId="0" xfId="0" applyAlignment="1" applyBorder="1" applyFont="1">
      <alignment horizontal="center" vertical="center"/>
    </xf>
    <xf borderId="9" fillId="6" fontId="7" numFmtId="0" xfId="0" applyAlignment="1" applyBorder="1" applyFont="1">
      <alignment horizontal="center" shrinkToFit="0" vertical="center" wrapText="1"/>
    </xf>
    <xf borderId="4" fillId="0" fontId="12" numFmtId="0" xfId="0" applyAlignment="1" applyBorder="1" applyFont="1">
      <alignment horizontal="center" shrinkToFit="0" vertical="center" wrapText="1"/>
    </xf>
    <xf borderId="9" fillId="6" fontId="13" numFmtId="0" xfId="0" applyAlignment="1" applyBorder="1" applyFont="1">
      <alignment horizontal="center" shrinkToFit="0" vertical="center" wrapText="1"/>
    </xf>
    <xf borderId="9" fillId="6" fontId="14" numFmtId="0" xfId="0" applyAlignment="1" applyBorder="1" applyFont="1">
      <alignment horizontal="center" shrinkToFit="0" vertical="center" wrapText="1"/>
    </xf>
    <xf borderId="4" fillId="0" fontId="10" numFmtId="0" xfId="0" applyBorder="1" applyFont="1"/>
    <xf borderId="10" fillId="0" fontId="15" numFmtId="0" xfId="0" applyAlignment="1" applyBorder="1" applyFont="1">
      <alignment horizontal="left" shrinkToFit="0" vertical="top" wrapText="1"/>
    </xf>
    <xf borderId="0" fillId="0" fontId="16" numFmtId="0" xfId="0" applyFont="1"/>
    <xf borderId="1" fillId="0" fontId="3" numFmtId="0" xfId="0" applyAlignment="1" applyBorder="1" applyFont="1">
      <alignment horizontal="left" shrinkToFit="0" vertical="center" wrapText="1"/>
    </xf>
    <xf borderId="0" fillId="0" fontId="17" numFmtId="0" xfId="0" applyAlignment="1" applyFont="1">
      <alignment horizontal="center" shrinkToFit="0" vertical="center" wrapText="1"/>
    </xf>
    <xf borderId="0" fillId="0" fontId="10" numFmtId="0" xfId="0" applyFont="1"/>
    <xf borderId="5" fillId="0" fontId="4" numFmtId="0" xfId="0" applyAlignment="1" applyBorder="1" applyFont="1">
      <alignment horizontal="center" readingOrder="0" shrinkToFit="0" vertical="center" wrapText="1"/>
    </xf>
    <xf borderId="4" fillId="0" fontId="18" numFmtId="0" xfId="0" applyAlignment="1" applyBorder="1" applyFont="1">
      <alignment horizontal="center" shrinkToFit="0" vertical="center" wrapText="1"/>
    </xf>
    <xf borderId="4" fillId="6" fontId="7" numFmtId="0" xfId="0" applyAlignment="1" applyBorder="1" applyFont="1">
      <alignment horizontal="center" shrinkToFit="0" vertical="center" wrapText="1"/>
    </xf>
    <xf borderId="4" fillId="6" fontId="7" numFmtId="167" xfId="0" applyAlignment="1" applyBorder="1" applyFont="1" applyNumberFormat="1">
      <alignment horizontal="center" shrinkToFit="0" vertical="center" wrapText="1"/>
    </xf>
    <xf borderId="4" fillId="0" fontId="10" numFmtId="167" xfId="0" applyAlignment="1" applyBorder="1" applyFont="1" applyNumberFormat="1">
      <alignment horizontal="center" shrinkToFit="0" vertical="top" wrapText="1"/>
    </xf>
    <xf borderId="4" fillId="6" fontId="19" numFmtId="166" xfId="0" applyAlignment="1" applyBorder="1" applyFont="1" applyNumberFormat="1">
      <alignment horizontal="center" shrinkToFit="0" vertical="center" wrapText="1"/>
    </xf>
    <xf borderId="4" fillId="6" fontId="14" numFmtId="0" xfId="0" applyAlignment="1" applyBorder="1" applyFont="1">
      <alignment horizontal="center" shrinkToFit="0" vertical="center" wrapText="1"/>
    </xf>
    <xf borderId="4" fillId="6" fontId="20" numFmtId="0" xfId="0" applyAlignment="1" applyBorder="1" applyFont="1">
      <alignment horizontal="center" shrinkToFit="0" vertical="center" wrapText="1"/>
    </xf>
    <xf borderId="4" fillId="7" fontId="20" numFmtId="0" xfId="0" applyAlignment="1" applyBorder="1" applyFill="1" applyFont="1">
      <alignment horizontal="center" shrinkToFit="0" vertical="center" wrapText="1"/>
    </xf>
    <xf borderId="4" fillId="0" fontId="3" numFmtId="0" xfId="0" applyAlignment="1" applyBorder="1" applyFont="1">
      <alignment horizontal="center" vertical="center"/>
    </xf>
    <xf borderId="4" fillId="0" fontId="7" numFmtId="0" xfId="0" applyBorder="1" applyFont="1"/>
    <xf borderId="4" fillId="0" fontId="10" numFmtId="0" xfId="0" applyAlignment="1" applyBorder="1" applyFont="1">
      <alignment horizontal="center" shrinkToFit="0" vertical="center" wrapText="1"/>
    </xf>
    <xf borderId="4" fillId="6" fontId="10" numFmtId="0" xfId="0" applyAlignment="1" applyBorder="1" applyFont="1">
      <alignment horizontal="center" shrinkToFit="0" vertical="center" wrapText="1"/>
    </xf>
    <xf borderId="4" fillId="6" fontId="10" numFmtId="164" xfId="0" applyAlignment="1" applyBorder="1" applyFont="1" applyNumberFormat="1">
      <alignment horizontal="center" shrinkToFit="0" vertical="center" wrapText="1"/>
    </xf>
    <xf borderId="4" fillId="0" fontId="10" numFmtId="164" xfId="0" applyAlignment="1" applyBorder="1" applyFont="1" applyNumberFormat="1">
      <alignment horizontal="center" shrinkToFit="0" vertical="center" wrapText="1"/>
    </xf>
    <xf borderId="4" fillId="6" fontId="10" numFmtId="165" xfId="0" applyAlignment="1" applyBorder="1" applyFont="1" applyNumberFormat="1">
      <alignment horizontal="center" shrinkToFit="0" vertical="center" wrapText="1"/>
    </xf>
    <xf borderId="4" fillId="6" fontId="21" numFmtId="166" xfId="0" applyAlignment="1" applyBorder="1" applyFont="1" applyNumberFormat="1">
      <alignment horizontal="center" shrinkToFit="0" vertical="center" wrapText="1"/>
    </xf>
    <xf borderId="4" fillId="0" fontId="10" numFmtId="0" xfId="0" applyAlignment="1" applyBorder="1" applyFont="1">
      <alignment horizontal="center" shrinkToFit="0" vertical="top" wrapText="1"/>
    </xf>
    <xf borderId="4" fillId="0" fontId="22" numFmtId="0" xfId="0" applyAlignment="1" applyBorder="1" applyFont="1">
      <alignment horizontal="center" shrinkToFit="0" vertical="top" wrapText="1"/>
    </xf>
    <xf borderId="4" fillId="0" fontId="23" numFmtId="0" xfId="0" applyAlignment="1" applyBorder="1" applyFont="1">
      <alignment horizontal="center" shrinkToFit="0" vertical="top" wrapText="1"/>
    </xf>
    <xf borderId="4" fillId="0" fontId="24" numFmtId="167" xfId="0" applyAlignment="1" applyBorder="1" applyFont="1" applyNumberFormat="1">
      <alignment horizontal="center" shrinkToFit="0" vertical="center" wrapText="1"/>
    </xf>
    <xf borderId="4" fillId="0" fontId="24" numFmtId="166" xfId="0" applyAlignment="1" applyBorder="1" applyFont="1" applyNumberFormat="1">
      <alignment horizontal="center" shrinkToFit="0" vertical="center" wrapText="1"/>
    </xf>
    <xf borderId="4" fillId="0" fontId="24" numFmtId="0" xfId="0" applyAlignment="1" applyBorder="1" applyFont="1">
      <alignment horizontal="center" shrinkToFit="0" vertical="center" wrapText="1"/>
    </xf>
    <xf borderId="4" fillId="8" fontId="24" numFmtId="0" xfId="0" applyAlignment="1" applyBorder="1" applyFill="1" applyFont="1">
      <alignment horizontal="center" shrinkToFit="0" vertical="center" wrapText="1"/>
    </xf>
    <xf borderId="4" fillId="0" fontId="25" numFmtId="0" xfId="0" applyAlignment="1" applyBorder="1" applyFont="1">
      <alignment horizontal="center" shrinkToFit="0" vertical="center" wrapText="1"/>
    </xf>
    <xf borderId="4" fillId="0" fontId="10" numFmtId="0" xfId="0" applyAlignment="1" applyBorder="1" applyFont="1">
      <alignment shrinkToFit="0" vertical="center" wrapText="1"/>
    </xf>
    <xf borderId="4" fillId="9" fontId="10" numFmtId="0" xfId="0" applyAlignment="1" applyBorder="1" applyFill="1" applyFont="1">
      <alignment shrinkToFit="0" vertical="center" wrapText="1"/>
    </xf>
    <xf borderId="4" fillId="0" fontId="26" numFmtId="0" xfId="0" applyAlignment="1" applyBorder="1" applyFont="1">
      <alignment shrinkToFit="0" vertical="center" wrapText="1"/>
    </xf>
    <xf borderId="4" fillId="0" fontId="10" numFmtId="164" xfId="0" applyAlignment="1" applyBorder="1" applyFont="1" applyNumberFormat="1">
      <alignment shrinkToFit="0" vertical="center" wrapText="1"/>
    </xf>
    <xf borderId="4" fillId="0" fontId="10" numFmtId="165" xfId="0" applyAlignment="1" applyBorder="1" applyFont="1" applyNumberFormat="1">
      <alignment shrinkToFit="0" vertical="center" wrapText="1"/>
    </xf>
    <xf borderId="4" fillId="0" fontId="10" numFmtId="166" xfId="0" applyAlignment="1" applyBorder="1" applyFont="1" applyNumberFormat="1">
      <alignment horizontal="center" shrinkToFit="0" vertical="center" wrapText="1"/>
    </xf>
    <xf borderId="4" fillId="9" fontId="27" numFmtId="0" xfId="0" applyAlignment="1" applyBorder="1" applyFont="1">
      <alignment shrinkToFit="0" vertical="center" wrapText="1"/>
    </xf>
    <xf borderId="4" fillId="0" fontId="10" numFmtId="164" xfId="0" applyAlignment="1" applyBorder="1" applyFont="1" applyNumberFormat="1">
      <alignment horizontal="center" shrinkToFit="0" vertical="top" wrapText="1"/>
    </xf>
    <xf borderId="4" fillId="0" fontId="10" numFmtId="166" xfId="0" applyAlignment="1" applyBorder="1" applyFont="1" applyNumberFormat="1">
      <alignment horizontal="center" shrinkToFit="0" vertical="top" wrapText="1"/>
    </xf>
    <xf borderId="4" fillId="6" fontId="10" numFmtId="0" xfId="0" applyAlignment="1" applyBorder="1" applyFont="1">
      <alignment shrinkToFit="0" vertical="center" wrapText="1"/>
    </xf>
    <xf borderId="9" fillId="6" fontId="28" numFmtId="0" xfId="0" applyAlignment="1" applyBorder="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6"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mercadolibre.com.co/mouse-gamer-vertical-inalambrico-recargable-weibo-wb-881-negro/p/MCO16051104?pdp_filters=item_id:MCO2027339616" TargetMode="External"/><Relationship Id="rId2" Type="http://schemas.openxmlformats.org/officeDocument/2006/relationships/hyperlink" Target="https://www.amazon.com/AmazonBasics-Rat%C3%B3n-computadora-botones-paquete/dp/B005EJH6RW/ref=sr_1_1_ffob_sspa?adgrpid=76518563943&amp;dib=eyJ2IjoiMSJ9.caTNles2EQzXmYsVaF0sPWElmTAbfPn8TEbeABR0G9o84hDg74tGjW-PbETNTqLxtMID4w5lIQF8m7j5KPrX60kFeTUY-IKKj1s5-W9FDMVuEjmQqA7VqCEOgNUNA_RsIVY5Wx0gR5DnHe9ASAQ8M8YRAxeVn3Acejqh0tgN8ueo29TNxAiKe2N0G5LNR214HtNh2oR0UTEyycAdXVxbeQUTvX44aLr_mRDw18-JBsM.3bwOiESxFGE2avoolxd1NMyRwKpAc48tTWFOHEkuV94&amp;dib_tag=se&amp;hvadid=673177383265&amp;hvdev=c&amp;hvlocphy=1003659&amp;hvnetw=g&amp;hvqmt=b&amp;hvrand=4444607748343888028&amp;hvtargid=kwd-17170676&amp;hydadcr=750_1015168472&amp;keywords=mouse%2Bfor%2Blaptop&amp;qid=1717016842&amp;sr=8-1-spons&amp;sp_csd=d2lkZ2V0TmFtZT1zcF9hdGY&amp;th=1" TargetMode="External"/><Relationship Id="rId3" Type="http://schemas.openxmlformats.org/officeDocument/2006/relationships/hyperlink" Target="https://expocolsuministros.com/product/mouse-logitech-g-inalambrico-gaming-g305-lila/"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amazon.com/-/es/ThinkPad-procesador-pantalla-pulgadas-rendimiento/dp/B0FS9WHNQJ/ref=sr_1_3?__mk_es_US=%C3%85M%C3%85%C5%BD%C3%95%C3%91&amp;crid=2CHXIBBCY37ZR&amp;dib=eyJ2IjoiMSJ9.oa42wHFC9WQ5jY2AtYE6DPgQ6QqNxVxysCkosVuHAPZjyVFmyp-W7oZ1HsDYrGA9aFylNxIFLc30VNR8teZ_VrN7olk95VSUBkM_oaV0VVY.ScohJT2a4u1xbLnIkbU3Nq7yjq6UqXvfjFQCu_bDMTE&amp;dib_tag=se&amp;keywords=Lenovo%2BLaptop%2BThinkPad%2BX1%2BCarbon%2BGen%2B13%2C%2BIntel%2BUltra%2B7%2B255U%2C%2Bt%C3%A1ctil%2BWUXGA%2B14%22%2C%2BRAM%2B32%2BGB%2BDDR5%2C%2BSSD%2B1%2BTB&amp;nsdOptOutParam=true&amp;qid=1763658054&amp;sprefix=lenovo%2Blaptop%2Bthinkpad%2Bx1%2Bcarbon%2Bgen%2B13%2C%2Bintel%2Bultra%2B7%2B255u%2C%2Bt%C3%A1ctil%2Bwuxga%2B14%2B%2C%2Bram%2B32%2Bgb%2Bddr5%2C%2Bssd%2B1%2Btb%2Caps%2C653&amp;sr=8-3&amp;th=1" TargetMode="External"/><Relationship Id="rId2" Type="http://schemas.openxmlformats.org/officeDocument/2006/relationships/hyperlink" Target="https://www.lenovo.com/co/es/p/portatiles/thinkpad/thinkpad-x1/thinkpad-x1-carbon-gen-13-aura-edition-14-inch-intel/21ns005glm" TargetMode="External"/><Relationship Id="rId3" Type="http://schemas.openxmlformats.org/officeDocument/2006/relationships/hyperlink" Target="https://articulo.mercadolibre.com.co/MCO-2831412212-macbook-air-15-m4-10c-cpu-10c-gpu-24gb-ram-1-tb-ssd-_JM?searchVariation=187195158367"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cubepath.com/dedicated-servers&amp;dib=eyJ2IjoiMSJ9.vYi2pIIiGRBedIr2jKVR4ybPOOFZSWbEDb958QPq9NarZfdDgLhPG1rwbxctloAyzlgEiJT22MxWfeOLuojU9lMgaWCspcaWFdcfhotfIJLw4HKo4BMqEq3usCY3QITk_O9c8ve6tss3sWwYeNc004FfpXfPf7LJv1GbZxOGSii9Zo-V7IZ_1V_HKTu3oHC3by1vwuC41wtIhixDpZLzPkPqyy3a8UQThf6lEfmQBG8.ce6UuJy1KMSj4ZCWiuK1ejBTgg8_WeHUDg2rWRQxGWE&amp;dib_tag=se&amp;hvadid=685760356930&amp;hvdev=c&amp;hvlocphy=1003659&amp;hvnetw=g&amp;hvqmt=e&amp;hvrand=12856362696261638438&amp;hvtargid=kwd-333776316623&amp;hydadcr=2263_13512609&amp;keywords=servidores+computadora&amp;qid=1714839274&amp;sr=8-1-spons&amp;sp_csd=d2lkZ2V0TmFtZT1zcF9hdGY&amp;psc=1" TargetMode="External"/><Relationship Id="rId2" Type="http://schemas.openxmlformats.org/officeDocument/2006/relationships/hyperlink" Target="https://cloud.google.com/sql?_gl=1*1touqip*_up*MQ..&amp;gclid=CjwKCAiAlfvIBhA6EiwAcErpyfibGDyiKWXXRH10OW3uZ6TV1NJzKnNpDN3P51KUi_oGxUXVdIfKfBoCAZAQAvD_BwE&amp;gclsrc=aw.ds" TargetMode="External"/><Relationship Id="rId3" Type="http://schemas.openxmlformats.org/officeDocument/2006/relationships/hyperlink" Target="https://clientes.latinoamericahosting.com.co/store/hosting" TargetMode="Externa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visualstudio.microsoft.com/es/" TargetMode="External"/><Relationship Id="rId2" Type="http://schemas.openxmlformats.org/officeDocument/2006/relationships/hyperlink" Target="https://learn.microsoft.com/es-es/windows/package-manager/winget/" TargetMode="External"/><Relationship Id="rId3" Type="http://schemas.openxmlformats.org/officeDocument/2006/relationships/hyperlink" Target="https://brew.sh/" TargetMode="Externa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www.microsoft.com/es-co/"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www.postgresql.org/" TargetMode="External"/><Relationship Id="rId2" Type="http://schemas.openxmlformats.org/officeDocument/2006/relationships/hyperlink" Target="https://www.enterprisedb.com/downloads/postgres-postgresql-downloads" TargetMode="External"/><Relationship Id="rId3" Type="http://schemas.openxmlformats.org/officeDocument/2006/relationships/hyperlink" Target="https://docs.redhat.com/en/documentation/red_hat_enterprise_linux/6/html/deployment_guide/sec-configuring_yum_and_yum_repositories" TargetMode="External"/><Relationship Id="rId4"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brew.sh/es/" TargetMode="External"/><Relationship Id="rId2" Type="http://schemas.openxmlformats.org/officeDocument/2006/relationships/hyperlink" Target="https://github.com/Homebrew/brewspons&amp;sp_csd=d2lkZ2V0TmFtZT1zcF9hdGY&amp;th=1" TargetMode="External"/><Relationship Id="rId3" Type="http://schemas.openxmlformats.org/officeDocument/2006/relationships/hyperlink" Target="https://www.macports.org/" TargetMode="External"/><Relationship Id="rId4"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www.docker.com/products/personal/" TargetMode="External"/><Relationship Id="rId2" Type="http://schemas.openxmlformats.org/officeDocument/2006/relationships/hyperlink" Target="https://www.docker.com/products/pro/" TargetMode="External"/><Relationship Id="rId3" Type="http://schemas.openxmlformats.org/officeDocument/2006/relationships/hyperlink" Target="https://www.docker.com/products/business/" TargetMode="External"/><Relationship Id="rId4"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apps.apple.com/es/app/numbers/id409203825?mt=12" TargetMode="External"/><Relationship Id="rId2" Type="http://schemas.openxmlformats.org/officeDocument/2006/relationships/hyperlink" Target="https://www.apple.com/co/numbers/" TargetMode="External"/><Relationship Id="rId3" Type="http://schemas.openxmlformats.org/officeDocument/2006/relationships/hyperlink" Target="https://www.icloud.com/numbers" TargetMode="External"/><Relationship Id="rId4"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skillbuilder.aws/category/style/live-classroom-training" TargetMode="External"/><Relationship Id="rId2" Type="http://schemas.openxmlformats.org/officeDocument/2006/relationships/hyperlink" Target="https://azure.microsoft.com/es-mx/pricing/purchase-options/azure-account/search?icid=free-search&amp;ef_id=_k_Cj0KCQiAoZDJBhC0ARIsAERP-F9cNDYt4cMAPQXWYTT0ONyx1SmzzL61Iny73veZ53Qy1sYMj11ad3EaAkpXEALw_wcB_k_&amp;OCID=AIDcmm3804ythc_SEM__k_Cj0KCQiAoZDJBhC0ARIsAERP-F9cNDYt4cMAPQXWYTT0ONyx1SmzzL61Iny73veZ53Qy1sYMj11ad3EaAkpXEALw_wcB_k_&amp;gad_source=1&amp;gad_campaignid=1634425126&amp;gbraid=0AAAAADcJh_tdBW0kkkZQXRQ3Y7iVMHZYP&amp;gclid=Cj0KCQiAoZDJBhC0ARIsAERP-F9cNDYt4cMAPQXWYTT0ONyx1SmzzL61Iny73veZ53Qy1sYMj11ad3EaAkpXEALw_wcB" TargetMode="External"/><Relationship Id="rId3" Type="http://schemas.openxmlformats.org/officeDocument/2006/relationships/hyperlink" Target="https://aws.amazon.com/es/blogs/training-and-certification/new-aws-cloud-technology-consultant-professional-certificate-now-available-on-coursera/" TargetMode="External"/><Relationship Id="rId4"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spring.io/projects/spring-boot" TargetMode="External"/><Relationship Id="rId2" Type="http://schemas.openxmlformats.org/officeDocument/2006/relationships/hyperlink" Target="https://mvnrepository.com/artifact/org.springframework.boot/spring-boot" TargetMode="External"/><Relationship Id="rId3" Type="http://schemas.openxmlformats.org/officeDocument/2006/relationships/hyperlink" Target="https://sdkman.io/sdks/" TargetMode="External"/><Relationship Id="rId4"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es.legacy.reactjs.org/" TargetMode="External"/><Relationship Id="rId2" Type="http://schemas.openxmlformats.org/officeDocument/2006/relationships/hyperlink" Target="https://docs.npmjs.com/downloading-and-installing-node-js-and-npm" TargetMode="External"/><Relationship Id="rId3" Type="http://schemas.openxmlformats.org/officeDocument/2006/relationships/hyperlink" Target="https://app.unpkg.com/cdnjs@0.3.2" TargetMode="External"/><Relationship Id="rId4"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7.88"/>
    <col customWidth="1" min="8" max="8" width="17.0"/>
    <col customWidth="1" min="9" max="10" width="19.13"/>
    <col customWidth="1" min="11" max="26" width="10.0"/>
  </cols>
  <sheetData>
    <row r="1" ht="12.75" customHeight="1"/>
    <row r="2" ht="27.75" customHeight="1">
      <c r="D2" s="1" t="s">
        <v>0</v>
      </c>
    </row>
    <row r="3" ht="12.75" customHeight="1"/>
    <row r="4" ht="12.75" customHeight="1"/>
    <row r="5" ht="43.5" customHeight="1">
      <c r="A5" s="2" t="s">
        <v>1</v>
      </c>
      <c r="B5" s="3"/>
      <c r="C5" s="3"/>
      <c r="D5" s="3"/>
      <c r="E5" s="3"/>
      <c r="F5" s="3"/>
      <c r="G5" s="3"/>
      <c r="H5" s="3"/>
      <c r="I5" s="3"/>
      <c r="J5" s="4"/>
    </row>
    <row r="6" ht="15.75" customHeight="1"/>
    <row r="7" ht="75.75" customHeight="1">
      <c r="A7" s="5" t="s">
        <v>2</v>
      </c>
      <c r="B7" s="6" t="s">
        <v>3</v>
      </c>
      <c r="C7" s="6" t="s">
        <v>4</v>
      </c>
      <c r="D7" s="6" t="s">
        <v>5</v>
      </c>
      <c r="E7" s="6" t="s">
        <v>6</v>
      </c>
      <c r="F7" s="7" t="s">
        <v>7</v>
      </c>
      <c r="G7" s="8" t="s">
        <v>8</v>
      </c>
      <c r="H7" s="6" t="s">
        <v>9</v>
      </c>
      <c r="I7" s="6" t="s">
        <v>10</v>
      </c>
      <c r="J7" s="6" t="s">
        <v>11</v>
      </c>
      <c r="K7" s="9"/>
      <c r="L7" s="9"/>
      <c r="M7" s="9"/>
      <c r="N7" s="9"/>
      <c r="O7" s="9"/>
      <c r="P7" s="9"/>
      <c r="Q7" s="9"/>
      <c r="R7" s="9"/>
      <c r="S7" s="9"/>
      <c r="T7" s="9"/>
      <c r="U7" s="9"/>
      <c r="V7" s="9"/>
      <c r="W7" s="9"/>
      <c r="X7" s="9"/>
      <c r="Y7" s="9"/>
      <c r="Z7" s="9"/>
    </row>
    <row r="8" ht="50.25" customHeight="1">
      <c r="A8" s="10" t="s">
        <v>12</v>
      </c>
      <c r="B8" s="11" t="s">
        <v>13</v>
      </c>
      <c r="C8" s="12" t="s">
        <v>14</v>
      </c>
      <c r="D8" s="13" t="s">
        <v>15</v>
      </c>
      <c r="E8" s="14">
        <v>29640.0</v>
      </c>
      <c r="F8" s="15">
        <f t="shared" ref="F8:F10" si="1">E8*1.19</f>
        <v>35271.6</v>
      </c>
      <c r="G8" s="16">
        <f t="shared" ref="G8:G10" si="2">(E8+F8)/3900</f>
        <v>16.644</v>
      </c>
      <c r="H8" s="17">
        <f t="shared" ref="H8:H10" si="3">G8*3900</f>
        <v>64911.6</v>
      </c>
      <c r="I8" s="18" t="s">
        <v>16</v>
      </c>
      <c r="J8" s="19" t="s">
        <v>17</v>
      </c>
    </row>
    <row r="9" ht="50.25" customHeight="1">
      <c r="A9" s="10" t="s">
        <v>18</v>
      </c>
      <c r="B9" s="20" t="s">
        <v>19</v>
      </c>
      <c r="C9" s="12" t="s">
        <v>20</v>
      </c>
      <c r="D9" s="11" t="s">
        <v>21</v>
      </c>
      <c r="E9" s="15">
        <v>27000.0</v>
      </c>
      <c r="F9" s="15">
        <f t="shared" si="1"/>
        <v>32130</v>
      </c>
      <c r="G9" s="16">
        <f t="shared" si="2"/>
        <v>15.16153846</v>
      </c>
      <c r="H9" s="17">
        <f t="shared" si="3"/>
        <v>59130</v>
      </c>
      <c r="I9" s="18" t="s">
        <v>16</v>
      </c>
      <c r="J9" s="21" t="s">
        <v>22</v>
      </c>
    </row>
    <row r="10" ht="50.25" customHeight="1">
      <c r="A10" s="10" t="s">
        <v>23</v>
      </c>
      <c r="B10" s="11" t="s">
        <v>24</v>
      </c>
      <c r="C10" s="12" t="s">
        <v>25</v>
      </c>
      <c r="D10" s="11" t="s">
        <v>26</v>
      </c>
      <c r="E10" s="14">
        <v>145900.0</v>
      </c>
      <c r="F10" s="15">
        <f t="shared" si="1"/>
        <v>173621</v>
      </c>
      <c r="G10" s="16">
        <f t="shared" si="2"/>
        <v>81.92846154</v>
      </c>
      <c r="H10" s="17">
        <f t="shared" si="3"/>
        <v>319521</v>
      </c>
      <c r="I10" s="18" t="s">
        <v>16</v>
      </c>
      <c r="J10" s="22" t="s">
        <v>27</v>
      </c>
    </row>
    <row r="11" ht="15.0" hidden="1" customHeight="1">
      <c r="A11" s="23"/>
      <c r="B11" s="24"/>
      <c r="C11" s="24"/>
      <c r="D11" s="24"/>
      <c r="E11" s="24"/>
      <c r="F11" s="24"/>
      <c r="G11" s="24"/>
      <c r="H11" s="24"/>
      <c r="I11" s="25" t="s">
        <v>16</v>
      </c>
      <c r="J11" s="24"/>
    </row>
    <row r="12" ht="12.75" customHeight="1"/>
    <row r="13" ht="138.75" customHeight="1">
      <c r="A13" s="26" t="s">
        <v>28</v>
      </c>
      <c r="B13" s="3"/>
      <c r="C13" s="3"/>
      <c r="D13" s="3"/>
      <c r="E13" s="3"/>
      <c r="F13" s="3"/>
      <c r="G13" s="3"/>
      <c r="H13" s="3"/>
      <c r="I13" s="3"/>
      <c r="J13" s="4"/>
    </row>
    <row r="14" ht="12.75" customHeight="1"/>
    <row r="15" ht="75.0" customHeight="1">
      <c r="A15" s="26" t="s">
        <v>29</v>
      </c>
      <c r="B15" s="3"/>
      <c r="C15" s="3"/>
      <c r="D15" s="3"/>
      <c r="E15" s="3"/>
      <c r="F15" s="3"/>
      <c r="G15" s="3"/>
      <c r="H15" s="3"/>
      <c r="I15" s="3"/>
      <c r="J15" s="4"/>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27"/>
      <c r="E26" s="27"/>
      <c r="F26" s="28"/>
      <c r="G26" s="28"/>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2:H2"/>
    <mergeCell ref="A5:J5"/>
    <mergeCell ref="A13:J13"/>
    <mergeCell ref="A15:J15"/>
  </mergeCells>
  <hyperlinks>
    <hyperlink r:id="rId1" location="is_advertising=true&amp;searchVariation=MCO16051104&amp;position=1&amp;search_layout=stack&amp;type=pad&amp;tracking_id=ced31c77-b65c-4671-a8f1-61f3edab0f16&amp;is_advertising=true&amp;ad_domain=VQCATCORE_LST&amp;ad_position=1&amp;ad_click_id=MWZjOWY3ZTgtZjgwNS00MmEzLTk2M2ItNGJiMDNhMjg1NDIy" ref="C8"/>
    <hyperlink r:id="rId2" ref="C9"/>
    <hyperlink r:id="rId3" ref="C10"/>
  </hyperlinks>
  <printOptions/>
  <pageMargins bottom="0.75" footer="0.0" header="0.0" left="0.7" right="0.7" top="0.75"/>
  <pageSetup orientation="landscape"/>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9.13"/>
    <col customWidth="1" min="2" max="2" width="16.75"/>
    <col customWidth="1" min="3" max="3" width="19.13"/>
    <col customWidth="1" min="4" max="4" width="21.88"/>
    <col customWidth="1" min="5" max="6" width="17.0"/>
    <col customWidth="1" min="7" max="7" width="17.88"/>
    <col customWidth="1" min="8" max="8" width="17.0"/>
    <col customWidth="1" min="9" max="9" width="15.63"/>
    <col customWidth="1" min="10" max="10" width="27.13"/>
    <col customWidth="1" min="11" max="26" width="10.0"/>
  </cols>
  <sheetData>
    <row r="1" ht="12.75" customHeight="1"/>
    <row r="2" ht="27.75" customHeight="1">
      <c r="D2" s="1" t="s">
        <v>0</v>
      </c>
    </row>
    <row r="3" ht="12.75" customHeight="1"/>
    <row r="4" ht="12.75" customHeight="1"/>
    <row r="5" ht="43.5" customHeight="1">
      <c r="A5" s="2" t="s">
        <v>30</v>
      </c>
      <c r="B5" s="3"/>
      <c r="C5" s="3"/>
      <c r="D5" s="3"/>
      <c r="E5" s="3"/>
      <c r="F5" s="3"/>
      <c r="G5" s="3"/>
      <c r="H5" s="3"/>
      <c r="I5" s="3"/>
      <c r="J5" s="4"/>
    </row>
    <row r="6" ht="15.75" customHeight="1"/>
    <row r="7" ht="75.75" customHeight="1">
      <c r="A7" s="5" t="s">
        <v>2</v>
      </c>
      <c r="B7" s="6" t="s">
        <v>31</v>
      </c>
      <c r="C7" s="6" t="s">
        <v>32</v>
      </c>
      <c r="D7" s="29" t="s">
        <v>33</v>
      </c>
      <c r="E7" s="6" t="s">
        <v>34</v>
      </c>
      <c r="F7" s="7" t="s">
        <v>35</v>
      </c>
      <c r="G7" s="8" t="s">
        <v>36</v>
      </c>
      <c r="H7" s="6" t="s">
        <v>9</v>
      </c>
      <c r="I7" s="6" t="s">
        <v>37</v>
      </c>
      <c r="J7" s="6" t="s">
        <v>38</v>
      </c>
      <c r="K7" s="9"/>
      <c r="L7" s="9"/>
      <c r="M7" s="9"/>
      <c r="N7" s="9"/>
      <c r="O7" s="9"/>
      <c r="P7" s="9"/>
      <c r="Q7" s="9"/>
      <c r="R7" s="9"/>
      <c r="S7" s="9"/>
      <c r="T7" s="9"/>
      <c r="U7" s="9"/>
      <c r="V7" s="9"/>
      <c r="W7" s="9"/>
      <c r="X7" s="9"/>
      <c r="Y7" s="9"/>
      <c r="Z7" s="9"/>
    </row>
    <row r="8" ht="66.75" customHeight="1">
      <c r="A8" s="10" t="s">
        <v>12</v>
      </c>
      <c r="B8" s="11" t="s">
        <v>19</v>
      </c>
      <c r="C8" s="30" t="s">
        <v>39</v>
      </c>
      <c r="D8" s="31" t="s">
        <v>40</v>
      </c>
      <c r="E8" s="32">
        <v>6132958.0</v>
      </c>
      <c r="F8" s="14">
        <f t="shared" ref="F8:F10" si="1">E8*0.19</f>
        <v>1165262.02</v>
      </c>
      <c r="G8" s="33">
        <f t="shared" ref="G8:G10" si="2">(E8+F8)</f>
        <v>7298220.02</v>
      </c>
      <c r="H8" s="34">
        <f t="shared" ref="H8:H10" si="3">G8*3757</f>
        <v>27419412615</v>
      </c>
      <c r="I8" s="11" t="s">
        <v>16</v>
      </c>
      <c r="J8" s="35" t="s">
        <v>41</v>
      </c>
    </row>
    <row r="9" ht="57.75" customHeight="1">
      <c r="A9" s="10" t="s">
        <v>18</v>
      </c>
      <c r="B9" s="20" t="s">
        <v>42</v>
      </c>
      <c r="C9" s="30" t="s">
        <v>43</v>
      </c>
      <c r="D9" s="36" t="s">
        <v>44</v>
      </c>
      <c r="E9" s="15">
        <v>9899900.0</v>
      </c>
      <c r="F9" s="14">
        <f t="shared" si="1"/>
        <v>1880981</v>
      </c>
      <c r="G9" s="16">
        <f t="shared" si="2"/>
        <v>11780881</v>
      </c>
      <c r="H9" s="34">
        <f t="shared" si="3"/>
        <v>44260769917</v>
      </c>
      <c r="I9" s="11" t="s">
        <v>16</v>
      </c>
      <c r="J9" s="37" t="s">
        <v>45</v>
      </c>
    </row>
    <row r="10" ht="66.0" customHeight="1">
      <c r="A10" s="10" t="s">
        <v>23</v>
      </c>
      <c r="B10" s="11" t="s">
        <v>46</v>
      </c>
      <c r="C10" s="30" t="s">
        <v>47</v>
      </c>
      <c r="D10" s="36" t="s">
        <v>48</v>
      </c>
      <c r="E10" s="14">
        <v>1.03E7</v>
      </c>
      <c r="F10" s="14">
        <f t="shared" si="1"/>
        <v>1957000</v>
      </c>
      <c r="G10" s="16">
        <f t="shared" si="2"/>
        <v>12257000</v>
      </c>
      <c r="H10" s="34">
        <f t="shared" si="3"/>
        <v>46049549000</v>
      </c>
      <c r="I10" s="11" t="s">
        <v>16</v>
      </c>
      <c r="J10" s="37" t="s">
        <v>49</v>
      </c>
    </row>
    <row r="11" ht="12.0" customHeight="1">
      <c r="A11" s="38"/>
      <c r="B11" s="24"/>
      <c r="C11" s="24"/>
      <c r="D11" s="24"/>
      <c r="E11" s="24"/>
      <c r="F11" s="24"/>
      <c r="G11" s="24"/>
      <c r="H11" s="24"/>
      <c r="I11" s="24"/>
      <c r="J11" s="24"/>
    </row>
    <row r="12" ht="45.0" hidden="1" customHeight="1">
      <c r="A12" s="39"/>
      <c r="B12" s="39"/>
      <c r="C12" s="39"/>
      <c r="D12" s="39"/>
      <c r="E12" s="39"/>
      <c r="F12" s="39"/>
      <c r="G12" s="39"/>
      <c r="H12" s="39"/>
      <c r="I12" s="39"/>
      <c r="J12" s="39"/>
    </row>
    <row r="13" ht="138.75" customHeight="1">
      <c r="A13" s="26" t="s">
        <v>50</v>
      </c>
      <c r="B13" s="3"/>
      <c r="C13" s="3"/>
      <c r="D13" s="3"/>
      <c r="E13" s="3"/>
      <c r="F13" s="3"/>
      <c r="G13" s="3"/>
      <c r="H13" s="3"/>
      <c r="I13" s="3"/>
      <c r="J13" s="4"/>
    </row>
    <row r="14" ht="12.75" customHeight="1"/>
    <row r="15" ht="75.0" customHeight="1">
      <c r="A15" s="26" t="s">
        <v>51</v>
      </c>
      <c r="B15" s="3"/>
      <c r="C15" s="3"/>
      <c r="D15" s="3"/>
      <c r="E15" s="3"/>
      <c r="F15" s="3"/>
      <c r="G15" s="3"/>
      <c r="H15" s="3"/>
      <c r="I15" s="3"/>
      <c r="J15" s="4"/>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27"/>
      <c r="E26" s="27"/>
      <c r="F26" s="28"/>
      <c r="G26" s="28"/>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2:H2"/>
    <mergeCell ref="A5:J5"/>
    <mergeCell ref="A13:J13"/>
    <mergeCell ref="A15:J15"/>
  </mergeCells>
  <hyperlinks>
    <hyperlink r:id="rId1" ref="C8"/>
    <hyperlink r:id="rId2" ref="C9"/>
    <hyperlink r:id="rId3" location="polycard_client=search-nordic&amp;searchVariation=187195158367&amp;search_layout=stack&amp;position=19&amp;type=item&amp;tracking_id=a9487f9a-0992-4416-92ac-5ba662abd9d6" ref="C10"/>
  </hyperlinks>
  <printOptions/>
  <pageMargins bottom="0.75" footer="0.0" header="0.0" left="0.7" right="0.7" top="0.75"/>
  <pageSetup orientation="landscape"/>
  <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5.88"/>
    <col customWidth="1" min="2" max="2" width="17.25"/>
    <col customWidth="1" min="3" max="3" width="19.13"/>
    <col customWidth="1" min="4" max="4" width="21.88"/>
    <col customWidth="1" min="5" max="5" width="17.0"/>
    <col customWidth="1" min="6" max="6" width="21.88"/>
    <col customWidth="1" min="7" max="7" width="17.88"/>
    <col customWidth="1" min="8" max="8" width="19.38"/>
    <col customWidth="1" min="9" max="10" width="19.13"/>
    <col customWidth="1" min="11" max="26" width="10.0"/>
  </cols>
  <sheetData>
    <row r="1" ht="12.75" customHeight="1"/>
    <row r="2" ht="27.75" customHeight="1">
      <c r="D2" s="1" t="s">
        <v>0</v>
      </c>
    </row>
    <row r="3" ht="12.75" customHeight="1"/>
    <row r="4" ht="12.75" customHeight="1"/>
    <row r="5" ht="43.5" customHeight="1">
      <c r="A5" s="2" t="s">
        <v>1</v>
      </c>
      <c r="B5" s="3"/>
      <c r="C5" s="3"/>
      <c r="D5" s="3"/>
      <c r="E5" s="3"/>
      <c r="F5" s="3"/>
      <c r="G5" s="3"/>
      <c r="H5" s="3"/>
      <c r="I5" s="3"/>
      <c r="J5" s="4"/>
    </row>
    <row r="6" ht="15.75" customHeight="1"/>
    <row r="7" ht="75.75" customHeight="1">
      <c r="A7" s="5" t="s">
        <v>2</v>
      </c>
      <c r="B7" s="6" t="s">
        <v>52</v>
      </c>
      <c r="C7" s="6" t="s">
        <v>53</v>
      </c>
      <c r="D7" s="6" t="s">
        <v>54</v>
      </c>
      <c r="E7" s="6" t="s">
        <v>55</v>
      </c>
      <c r="F7" s="7" t="s">
        <v>56</v>
      </c>
      <c r="G7" s="8" t="s">
        <v>57</v>
      </c>
      <c r="H7" s="6" t="s">
        <v>9</v>
      </c>
      <c r="I7" s="6" t="s">
        <v>58</v>
      </c>
      <c r="J7" s="6" t="s">
        <v>59</v>
      </c>
      <c r="K7" s="9"/>
      <c r="L7" s="9"/>
      <c r="M7" s="9"/>
      <c r="N7" s="9"/>
      <c r="O7" s="9"/>
      <c r="P7" s="9"/>
      <c r="Q7" s="9"/>
      <c r="R7" s="9"/>
      <c r="S7" s="9"/>
      <c r="T7" s="9"/>
      <c r="U7" s="9"/>
      <c r="V7" s="9"/>
      <c r="W7" s="9"/>
      <c r="X7" s="9"/>
      <c r="Y7" s="9"/>
      <c r="Z7" s="9"/>
    </row>
    <row r="8" ht="67.5" customHeight="1">
      <c r="A8" s="10" t="s">
        <v>12</v>
      </c>
      <c r="B8" s="40" t="s">
        <v>60</v>
      </c>
      <c r="C8" s="12" t="s">
        <v>61</v>
      </c>
      <c r="D8" s="41" t="s">
        <v>62</v>
      </c>
      <c r="E8" s="42">
        <v>596611.0</v>
      </c>
      <c r="F8" s="43">
        <f t="shared" ref="F8:F10" si="1">E8*0.19</f>
        <v>113356.09</v>
      </c>
      <c r="G8" s="44">
        <f t="shared" ref="G8:G10" si="2">(F8+E8)/3757</f>
        <v>188.97181</v>
      </c>
      <c r="H8" s="45">
        <f t="shared" ref="H8:H10" si="3">G8*3757</f>
        <v>709967.09</v>
      </c>
      <c r="I8" s="40" t="s">
        <v>16</v>
      </c>
      <c r="J8" s="41" t="s">
        <v>63</v>
      </c>
    </row>
    <row r="9" ht="50.25" customHeight="1">
      <c r="A9" s="10" t="s">
        <v>18</v>
      </c>
      <c r="B9" s="40" t="s">
        <v>64</v>
      </c>
      <c r="C9" s="12" t="s">
        <v>65</v>
      </c>
      <c r="D9" s="41" t="s">
        <v>66</v>
      </c>
      <c r="E9" s="42">
        <v>1064837.0</v>
      </c>
      <c r="F9" s="43">
        <f t="shared" si="1"/>
        <v>202319.03</v>
      </c>
      <c r="G9" s="44">
        <f t="shared" si="2"/>
        <v>337.2786878</v>
      </c>
      <c r="H9" s="45">
        <f t="shared" si="3"/>
        <v>1267156.03</v>
      </c>
      <c r="I9" s="40" t="s">
        <v>16</v>
      </c>
      <c r="J9" s="41" t="s">
        <v>67</v>
      </c>
    </row>
    <row r="10" ht="50.25" customHeight="1">
      <c r="A10" s="10" t="s">
        <v>23</v>
      </c>
      <c r="B10" s="40" t="s">
        <v>68</v>
      </c>
      <c r="C10" s="12" t="s">
        <v>69</v>
      </c>
      <c r="D10" s="41" t="s">
        <v>70</v>
      </c>
      <c r="E10" s="42">
        <v>260000.0</v>
      </c>
      <c r="F10" s="43">
        <f t="shared" si="1"/>
        <v>49400</v>
      </c>
      <c r="G10" s="44">
        <f t="shared" si="2"/>
        <v>82.35294118</v>
      </c>
      <c r="H10" s="45">
        <f t="shared" si="3"/>
        <v>309400</v>
      </c>
      <c r="I10" s="40" t="s">
        <v>16</v>
      </c>
      <c r="J10" s="41" t="s">
        <v>71</v>
      </c>
    </row>
    <row r="11" ht="15.0" hidden="1" customHeight="1">
      <c r="A11" s="23"/>
      <c r="B11" s="24"/>
      <c r="C11" s="24"/>
      <c r="D11" s="24"/>
      <c r="E11" s="24"/>
      <c r="F11" s="24"/>
      <c r="G11" s="24"/>
      <c r="H11" s="24"/>
      <c r="I11" s="24"/>
      <c r="J11" s="24"/>
    </row>
    <row r="12" ht="12.75" customHeight="1"/>
    <row r="13" ht="138.75" customHeight="1">
      <c r="A13" s="26" t="s">
        <v>72</v>
      </c>
      <c r="B13" s="3"/>
      <c r="C13" s="3"/>
      <c r="D13" s="3"/>
      <c r="E13" s="3"/>
      <c r="F13" s="3"/>
      <c r="G13" s="3"/>
      <c r="H13" s="3"/>
      <c r="I13" s="3"/>
      <c r="J13" s="4"/>
    </row>
    <row r="14" ht="12.75" customHeight="1"/>
    <row r="15" ht="75.0" customHeight="1">
      <c r="A15" s="26" t="s">
        <v>73</v>
      </c>
      <c r="B15" s="3"/>
      <c r="C15" s="3"/>
      <c r="D15" s="3"/>
      <c r="E15" s="3"/>
      <c r="F15" s="3"/>
      <c r="G15" s="3"/>
      <c r="H15" s="3"/>
      <c r="I15" s="3"/>
      <c r="J15" s="4"/>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27"/>
      <c r="E26" s="27"/>
      <c r="F26" s="28"/>
      <c r="G26" s="28"/>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2:H2"/>
    <mergeCell ref="A5:J5"/>
    <mergeCell ref="A13:J13"/>
    <mergeCell ref="A15:J15"/>
  </mergeCells>
  <hyperlinks>
    <hyperlink r:id="rId1" ref="C8"/>
    <hyperlink r:id="rId2" ref="C9"/>
    <hyperlink r:id="rId3" ref="C10"/>
  </hyperlinks>
  <printOptions/>
  <pageMargins bottom="0.75" footer="0.0" header="0.0" left="0.7" right="0.7" top="0.75"/>
  <pageSetup orientation="landscape"/>
  <drawing r:id="rId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7.88"/>
    <col customWidth="1" min="8" max="8" width="17.0"/>
    <col customWidth="1" min="9" max="10" width="19.13"/>
    <col customWidth="1" min="11" max="26" width="10.0"/>
  </cols>
  <sheetData>
    <row r="1" ht="12.75" customHeight="1">
      <c r="A1" s="28"/>
    </row>
    <row r="2" ht="27.75" customHeight="1">
      <c r="D2" s="1" t="s">
        <v>0</v>
      </c>
    </row>
    <row r="3" ht="12.75" customHeight="1"/>
    <row r="4" ht="12.75" customHeight="1"/>
    <row r="5" ht="43.5" customHeight="1">
      <c r="A5" s="2" t="s">
        <v>1</v>
      </c>
      <c r="B5" s="3"/>
      <c r="C5" s="3"/>
      <c r="D5" s="3"/>
      <c r="E5" s="3"/>
      <c r="F5" s="3"/>
      <c r="G5" s="3"/>
      <c r="H5" s="3"/>
      <c r="I5" s="3"/>
      <c r="J5" s="4"/>
    </row>
    <row r="6" ht="15.75" customHeight="1"/>
    <row r="7" ht="75.75" customHeight="1">
      <c r="A7" s="5" t="s">
        <v>2</v>
      </c>
      <c r="B7" s="6" t="s">
        <v>74</v>
      </c>
      <c r="C7" s="6" t="s">
        <v>75</v>
      </c>
      <c r="D7" s="6" t="s">
        <v>76</v>
      </c>
      <c r="E7" s="6" t="s">
        <v>77</v>
      </c>
      <c r="F7" s="7" t="s">
        <v>78</v>
      </c>
      <c r="G7" s="8" t="s">
        <v>79</v>
      </c>
      <c r="H7" s="6" t="s">
        <v>9</v>
      </c>
      <c r="I7" s="6" t="s">
        <v>80</v>
      </c>
      <c r="J7" s="6" t="s">
        <v>81</v>
      </c>
      <c r="K7" s="9"/>
      <c r="L7" s="9"/>
      <c r="M7" s="9"/>
      <c r="N7" s="9"/>
      <c r="O7" s="9"/>
      <c r="P7" s="9"/>
      <c r="Q7" s="9"/>
      <c r="R7" s="9"/>
      <c r="S7" s="9"/>
      <c r="T7" s="9"/>
      <c r="U7" s="9"/>
      <c r="V7" s="9"/>
      <c r="W7" s="9"/>
      <c r="X7" s="9"/>
      <c r="Y7" s="9"/>
      <c r="Z7" s="9"/>
    </row>
    <row r="8" ht="50.25" customHeight="1">
      <c r="A8" s="10" t="s">
        <v>12</v>
      </c>
      <c r="B8" s="46" t="s">
        <v>82</v>
      </c>
      <c r="C8" s="47" t="s">
        <v>83</v>
      </c>
      <c r="D8" s="48" t="s">
        <v>84</v>
      </c>
      <c r="E8" s="49">
        <v>0.0</v>
      </c>
      <c r="F8" s="33">
        <f t="shared" ref="F8:F10" si="1">E8*1.19</f>
        <v>0</v>
      </c>
      <c r="G8" s="16">
        <f t="shared" ref="G8:G10" si="2">(F8+E8)/3900</f>
        <v>0</v>
      </c>
      <c r="H8" s="50">
        <f t="shared" ref="H8:H10" si="3">G8*3900</f>
        <v>0</v>
      </c>
      <c r="I8" s="51" t="s">
        <v>16</v>
      </c>
      <c r="J8" s="46"/>
    </row>
    <row r="9" ht="50.25" customHeight="1">
      <c r="A9" s="10" t="s">
        <v>18</v>
      </c>
      <c r="B9" s="46" t="s">
        <v>85</v>
      </c>
      <c r="C9" s="47" t="s">
        <v>86</v>
      </c>
      <c r="D9" s="46" t="str">
        <f>D8</f>
        <v> Software Esencial de Desarrollo 
VS code</v>
      </c>
      <c r="E9" s="49">
        <v>0.0</v>
      </c>
      <c r="F9" s="33">
        <f t="shared" si="1"/>
        <v>0</v>
      </c>
      <c r="G9" s="16">
        <f t="shared" si="2"/>
        <v>0</v>
      </c>
      <c r="H9" s="50">
        <f t="shared" si="3"/>
        <v>0</v>
      </c>
      <c r="I9" s="51" t="s">
        <v>16</v>
      </c>
      <c r="J9" s="52"/>
    </row>
    <row r="10" ht="50.25" customHeight="1">
      <c r="A10" s="10" t="s">
        <v>23</v>
      </c>
      <c r="B10" s="51" t="s">
        <v>87</v>
      </c>
      <c r="C10" s="12" t="s">
        <v>88</v>
      </c>
      <c r="D10" s="53" t="s">
        <v>84</v>
      </c>
      <c r="E10" s="49">
        <v>0.0</v>
      </c>
      <c r="F10" s="33">
        <f t="shared" si="1"/>
        <v>0</v>
      </c>
      <c r="G10" s="16">
        <f t="shared" si="2"/>
        <v>0</v>
      </c>
      <c r="H10" s="50">
        <f t="shared" si="3"/>
        <v>0</v>
      </c>
      <c r="I10" s="51" t="s">
        <v>16</v>
      </c>
      <c r="J10" s="52"/>
    </row>
    <row r="11" ht="15.0" hidden="1" customHeight="1">
      <c r="A11" s="23"/>
      <c r="B11" s="24"/>
      <c r="C11" s="24"/>
      <c r="D11" s="24"/>
      <c r="E11" s="24"/>
      <c r="F11" s="24"/>
      <c r="G11" s="24"/>
      <c r="H11" s="24"/>
      <c r="I11" s="24"/>
      <c r="J11" s="24"/>
    </row>
    <row r="12" ht="12.75" customHeight="1"/>
    <row r="13" ht="138.75" customHeight="1">
      <c r="A13" s="26" t="s">
        <v>89</v>
      </c>
      <c r="B13" s="3"/>
      <c r="C13" s="3"/>
      <c r="D13" s="3"/>
      <c r="E13" s="3"/>
      <c r="F13" s="3"/>
      <c r="G13" s="3"/>
      <c r="H13" s="3"/>
      <c r="I13" s="3"/>
      <c r="J13" s="4"/>
    </row>
    <row r="14" ht="12.75" customHeight="1"/>
    <row r="15" ht="75.0" customHeight="1">
      <c r="A15" s="26" t="s">
        <v>90</v>
      </c>
      <c r="B15" s="3"/>
      <c r="C15" s="3"/>
      <c r="D15" s="3"/>
      <c r="E15" s="3"/>
      <c r="F15" s="3"/>
      <c r="G15" s="3"/>
      <c r="H15" s="3"/>
      <c r="I15" s="3"/>
      <c r="J15" s="4"/>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27"/>
      <c r="E26" s="27"/>
      <c r="F26" s="28"/>
      <c r="G26" s="28"/>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2:H2"/>
    <mergeCell ref="A5:J5"/>
    <mergeCell ref="A13:J13"/>
    <mergeCell ref="A15:J15"/>
  </mergeCells>
  <hyperlinks>
    <hyperlink r:id="rId1" ref="C8"/>
    <hyperlink r:id="rId2" ref="C9"/>
    <hyperlink r:id="rId3" ref="C10"/>
  </hyperlinks>
  <printOptions/>
  <pageMargins bottom="0.75" footer="0.0" header="0.0" left="0.7" right="0.7" top="0.75"/>
  <pageSetup orientation="landscape"/>
  <drawing r:id="rId4"/>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7.88"/>
    <col customWidth="1" min="8" max="8" width="17.0"/>
    <col customWidth="1" min="9" max="10" width="19.13"/>
    <col customWidth="1" min="11" max="26" width="10.0"/>
  </cols>
  <sheetData>
    <row r="1" ht="12.75" customHeight="1">
      <c r="A1" s="28"/>
    </row>
    <row r="2" ht="27.75" customHeight="1">
      <c r="D2" s="1" t="s">
        <v>0</v>
      </c>
    </row>
    <row r="3" ht="12.75" customHeight="1"/>
    <row r="4" ht="12.75" customHeight="1"/>
    <row r="5" ht="43.5" customHeight="1">
      <c r="A5" s="2" t="s">
        <v>1</v>
      </c>
      <c r="B5" s="3"/>
      <c r="C5" s="3"/>
      <c r="D5" s="3"/>
      <c r="E5" s="3"/>
      <c r="F5" s="3"/>
      <c r="G5" s="3"/>
      <c r="H5" s="3"/>
      <c r="I5" s="3"/>
      <c r="J5" s="4"/>
    </row>
    <row r="6" ht="15.75" customHeight="1"/>
    <row r="7" ht="75.75" customHeight="1">
      <c r="A7" s="5" t="s">
        <v>2</v>
      </c>
      <c r="B7" s="6" t="s">
        <v>91</v>
      </c>
      <c r="C7" s="6" t="s">
        <v>92</v>
      </c>
      <c r="D7" s="6" t="s">
        <v>93</v>
      </c>
      <c r="E7" s="6" t="s">
        <v>94</v>
      </c>
      <c r="F7" s="7" t="s">
        <v>95</v>
      </c>
      <c r="G7" s="8" t="s">
        <v>96</v>
      </c>
      <c r="H7" s="6" t="s">
        <v>9</v>
      </c>
      <c r="I7" s="6" t="s">
        <v>97</v>
      </c>
      <c r="J7" s="6" t="s">
        <v>98</v>
      </c>
      <c r="K7" s="9"/>
      <c r="L7" s="9"/>
      <c r="M7" s="9"/>
      <c r="N7" s="9"/>
      <c r="O7" s="9"/>
      <c r="P7" s="9"/>
      <c r="Q7" s="9"/>
      <c r="R7" s="9"/>
      <c r="S7" s="9"/>
      <c r="T7" s="9"/>
      <c r="U7" s="9"/>
      <c r="V7" s="9"/>
      <c r="W7" s="9"/>
      <c r="X7" s="9"/>
      <c r="Y7" s="9"/>
      <c r="Z7" s="9"/>
    </row>
    <row r="8" ht="50.25" customHeight="1">
      <c r="A8" s="10" t="s">
        <v>12</v>
      </c>
      <c r="B8" s="54" t="s">
        <v>99</v>
      </c>
      <c r="C8" s="55">
        <v>3.232540225E9</v>
      </c>
      <c r="D8" s="56" t="s">
        <v>100</v>
      </c>
      <c r="E8" s="57">
        <v>787426.0</v>
      </c>
      <c r="F8" s="57">
        <f t="shared" ref="F8:F10" si="1">E8*1.19</f>
        <v>937036.94</v>
      </c>
      <c r="G8" s="58">
        <f t="shared" ref="G8:G10" si="2">(F8+E8)/3900</f>
        <v>442.1699846</v>
      </c>
      <c r="H8" s="59">
        <f t="shared" ref="H8:H10" si="3">G8*3900</f>
        <v>1724462.94</v>
      </c>
      <c r="I8" s="54" t="s">
        <v>101</v>
      </c>
      <c r="J8" s="54"/>
    </row>
    <row r="9" ht="50.25" customHeight="1">
      <c r="A9" s="10" t="s">
        <v>18</v>
      </c>
      <c r="B9" s="54" t="s">
        <v>102</v>
      </c>
      <c r="C9" s="56" t="s">
        <v>103</v>
      </c>
      <c r="D9" s="54" t="str">
        <f>D8</f>
        <v>Licencia Windows 11 Pro ESD Vitalicia
</v>
      </c>
      <c r="E9" s="57">
        <v>430000.0</v>
      </c>
      <c r="F9" s="57">
        <f t="shared" si="1"/>
        <v>511700</v>
      </c>
      <c r="G9" s="58">
        <f t="shared" si="2"/>
        <v>241.4615385</v>
      </c>
      <c r="H9" s="59">
        <f t="shared" si="3"/>
        <v>941700</v>
      </c>
      <c r="I9" s="54" t="s">
        <v>101</v>
      </c>
      <c r="J9" s="54"/>
    </row>
    <row r="10" ht="50.25" customHeight="1">
      <c r="A10" s="10" t="s">
        <v>23</v>
      </c>
      <c r="B10" s="54" t="s">
        <v>104</v>
      </c>
      <c r="C10" s="60" t="s">
        <v>105</v>
      </c>
      <c r="D10" s="56" t="s">
        <v>106</v>
      </c>
      <c r="E10" s="57">
        <v>537534.0</v>
      </c>
      <c r="F10" s="57">
        <f t="shared" si="1"/>
        <v>639665.46</v>
      </c>
      <c r="G10" s="58">
        <f t="shared" si="2"/>
        <v>301.8460154</v>
      </c>
      <c r="H10" s="59">
        <f t="shared" si="3"/>
        <v>1177199.46</v>
      </c>
      <c r="I10" s="54" t="s">
        <v>101</v>
      </c>
      <c r="J10" s="54" t="s">
        <v>107</v>
      </c>
    </row>
    <row r="11" ht="15.0" hidden="1" customHeight="1">
      <c r="A11" s="23"/>
      <c r="B11" s="24"/>
      <c r="C11" s="24"/>
      <c r="D11" s="24"/>
      <c r="E11" s="24"/>
      <c r="F11" s="24"/>
      <c r="G11" s="24"/>
      <c r="H11" s="24"/>
      <c r="I11" s="24"/>
      <c r="J11" s="24"/>
    </row>
    <row r="12" ht="12.75" customHeight="1"/>
    <row r="13" ht="138.75" customHeight="1">
      <c r="A13" s="26" t="s">
        <v>108</v>
      </c>
      <c r="B13" s="3"/>
      <c r="C13" s="3"/>
      <c r="D13" s="3"/>
      <c r="E13" s="3"/>
      <c r="F13" s="3"/>
      <c r="G13" s="3"/>
      <c r="H13" s="3"/>
      <c r="I13" s="3"/>
      <c r="J13" s="4"/>
    </row>
    <row r="14" ht="12.75" customHeight="1"/>
    <row r="15" ht="75.0" customHeight="1">
      <c r="A15" s="26" t="s">
        <v>109</v>
      </c>
      <c r="B15" s="3"/>
      <c r="C15" s="3"/>
      <c r="D15" s="3"/>
      <c r="E15" s="3"/>
      <c r="F15" s="3"/>
      <c r="G15" s="3"/>
      <c r="H15" s="3"/>
      <c r="I15" s="3"/>
      <c r="J15" s="4"/>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27"/>
      <c r="E26" s="27"/>
      <c r="F26" s="28"/>
      <c r="G26" s="28"/>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2:H2"/>
    <mergeCell ref="A5:J5"/>
    <mergeCell ref="A13:J13"/>
    <mergeCell ref="A15:J15"/>
  </mergeCells>
  <hyperlinks>
    <hyperlink r:id="rId1" ref="C10"/>
  </hyperlinks>
  <printOptions/>
  <pageMargins bottom="0.75" footer="0.0" header="0.0" left="0.7" right="0.7" top="0.75"/>
  <pageSetup orientation="landscape"/>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7.88"/>
    <col customWidth="1" min="8" max="8" width="17.0"/>
    <col customWidth="1" min="9" max="10" width="19.13"/>
    <col customWidth="1" min="11" max="26" width="10.0"/>
  </cols>
  <sheetData>
    <row r="1" ht="12.75" customHeight="1">
      <c r="A1" s="28"/>
    </row>
    <row r="2" ht="27.75" customHeight="1">
      <c r="D2" s="1" t="s">
        <v>0</v>
      </c>
    </row>
    <row r="3" ht="12.75" customHeight="1"/>
    <row r="4" ht="12.75" customHeight="1"/>
    <row r="5" ht="43.5" customHeight="1">
      <c r="A5" s="2" t="s">
        <v>1</v>
      </c>
      <c r="B5" s="3"/>
      <c r="C5" s="3"/>
      <c r="D5" s="3"/>
      <c r="E5" s="3"/>
      <c r="F5" s="3"/>
      <c r="G5" s="3"/>
      <c r="H5" s="3"/>
      <c r="I5" s="3"/>
      <c r="J5" s="4"/>
    </row>
    <row r="6" ht="15.75" customHeight="1"/>
    <row r="7" ht="75.75" customHeight="1">
      <c r="A7" s="5" t="s">
        <v>2</v>
      </c>
      <c r="B7" s="6" t="s">
        <v>110</v>
      </c>
      <c r="C7" s="6" t="s">
        <v>111</v>
      </c>
      <c r="D7" s="6" t="s">
        <v>112</v>
      </c>
      <c r="E7" s="6" t="s">
        <v>113</v>
      </c>
      <c r="F7" s="7" t="s">
        <v>114</v>
      </c>
      <c r="G7" s="8" t="s">
        <v>115</v>
      </c>
      <c r="H7" s="6" t="s">
        <v>9</v>
      </c>
      <c r="I7" s="6" t="s">
        <v>116</v>
      </c>
      <c r="J7" s="6" t="s">
        <v>117</v>
      </c>
      <c r="K7" s="9"/>
      <c r="L7" s="9"/>
      <c r="M7" s="9"/>
      <c r="N7" s="9"/>
      <c r="O7" s="9"/>
      <c r="P7" s="9"/>
      <c r="Q7" s="9"/>
      <c r="R7" s="9"/>
      <c r="S7" s="9"/>
      <c r="T7" s="9"/>
      <c r="U7" s="9"/>
      <c r="V7" s="9"/>
      <c r="W7" s="9"/>
      <c r="X7" s="9"/>
      <c r="Y7" s="9"/>
      <c r="Z7" s="9"/>
    </row>
    <row r="8" ht="50.25" customHeight="1">
      <c r="A8" s="10" t="s">
        <v>12</v>
      </c>
      <c r="B8" s="46" t="s">
        <v>118</v>
      </c>
      <c r="C8" s="47" t="s">
        <v>119</v>
      </c>
      <c r="D8" s="48" t="s">
        <v>120</v>
      </c>
      <c r="E8" s="61">
        <v>0.0</v>
      </c>
      <c r="F8" s="61">
        <f t="shared" ref="F8:F10" si="1">E8*1.19</f>
        <v>0</v>
      </c>
      <c r="G8" s="16">
        <f t="shared" ref="G8:G10" si="2">(F8+E8)/3900</f>
        <v>0</v>
      </c>
      <c r="H8" s="62">
        <f t="shared" ref="H8:H10" si="3">G8*3900</f>
        <v>0</v>
      </c>
      <c r="I8" s="40" t="s">
        <v>101</v>
      </c>
      <c r="J8" s="46"/>
    </row>
    <row r="9" ht="50.25" customHeight="1">
      <c r="A9" s="10" t="s">
        <v>18</v>
      </c>
      <c r="B9" s="46" t="s">
        <v>121</v>
      </c>
      <c r="C9" s="47" t="s">
        <v>122</v>
      </c>
      <c r="D9" s="46" t="s">
        <v>120</v>
      </c>
      <c r="E9" s="61">
        <v>0.0</v>
      </c>
      <c r="F9" s="61">
        <f t="shared" si="1"/>
        <v>0</v>
      </c>
      <c r="G9" s="16">
        <f t="shared" si="2"/>
        <v>0</v>
      </c>
      <c r="H9" s="62">
        <f t="shared" si="3"/>
        <v>0</v>
      </c>
      <c r="I9" s="40" t="s">
        <v>101</v>
      </c>
      <c r="J9" s="46"/>
    </row>
    <row r="10" ht="50.25" customHeight="1">
      <c r="A10" s="10" t="s">
        <v>23</v>
      </c>
      <c r="B10" s="40" t="s">
        <v>123</v>
      </c>
      <c r="C10" s="12" t="s">
        <v>124</v>
      </c>
      <c r="D10" s="41" t="s">
        <v>120</v>
      </c>
      <c r="E10" s="42">
        <v>0.0</v>
      </c>
      <c r="F10" s="61">
        <f t="shared" si="1"/>
        <v>0</v>
      </c>
      <c r="G10" s="16">
        <f t="shared" si="2"/>
        <v>0</v>
      </c>
      <c r="H10" s="62">
        <f t="shared" si="3"/>
        <v>0</v>
      </c>
      <c r="I10" s="40" t="s">
        <v>101</v>
      </c>
      <c r="J10" s="63"/>
    </row>
    <row r="11" ht="15.0" hidden="1" customHeight="1">
      <c r="A11" s="23"/>
      <c r="B11" s="24"/>
      <c r="C11" s="24"/>
      <c r="D11" s="24"/>
      <c r="E11" s="24"/>
      <c r="F11" s="24"/>
      <c r="G11" s="24"/>
      <c r="H11" s="24"/>
      <c r="I11" s="24"/>
      <c r="J11" s="24"/>
    </row>
    <row r="12" ht="12.75" customHeight="1"/>
    <row r="13" ht="138.75" customHeight="1">
      <c r="A13" s="26" t="s">
        <v>125</v>
      </c>
      <c r="B13" s="3"/>
      <c r="C13" s="3"/>
      <c r="D13" s="3"/>
      <c r="E13" s="3"/>
      <c r="F13" s="3"/>
      <c r="G13" s="3"/>
      <c r="H13" s="3"/>
      <c r="I13" s="3"/>
      <c r="J13" s="4"/>
    </row>
    <row r="14" ht="12.75" customHeight="1"/>
    <row r="15" ht="75.0" customHeight="1">
      <c r="A15" s="26" t="s">
        <v>126</v>
      </c>
      <c r="B15" s="3"/>
      <c r="C15" s="3"/>
      <c r="D15" s="3"/>
      <c r="E15" s="3"/>
      <c r="F15" s="3"/>
      <c r="G15" s="3"/>
      <c r="H15" s="3"/>
      <c r="I15" s="3"/>
      <c r="J15" s="4"/>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27"/>
      <c r="E26" s="27"/>
      <c r="F26" s="28"/>
      <c r="G26" s="28"/>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2:H2"/>
    <mergeCell ref="A5:J5"/>
    <mergeCell ref="A13:J13"/>
    <mergeCell ref="A15:J15"/>
  </mergeCells>
  <hyperlinks>
    <hyperlink r:id="rId1" ref="C8"/>
    <hyperlink r:id="rId2" ref="C9"/>
    <hyperlink r:id="rId3" ref="C10"/>
  </hyperlinks>
  <printOptions/>
  <pageMargins bottom="0.75" footer="0.0" header="0.0" left="0.7" right="0.7" top="0.75"/>
  <pageSetup orientation="landscape"/>
  <drawing r:id="rId4"/>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7.88"/>
    <col customWidth="1" min="8" max="8" width="17.0"/>
    <col customWidth="1" min="9" max="10" width="19.13"/>
    <col customWidth="1" min="11" max="26" width="10.0"/>
  </cols>
  <sheetData>
    <row r="1" ht="12.75" customHeight="1"/>
    <row r="2" ht="27.75" customHeight="1">
      <c r="D2" s="1" t="s">
        <v>0</v>
      </c>
    </row>
    <row r="3" ht="12.75" customHeight="1"/>
    <row r="4" ht="12.75" customHeight="1"/>
    <row r="5" ht="43.5" customHeight="1">
      <c r="A5" s="2" t="s">
        <v>1</v>
      </c>
      <c r="B5" s="3"/>
      <c r="C5" s="3"/>
      <c r="D5" s="3"/>
      <c r="E5" s="3"/>
      <c r="F5" s="3"/>
      <c r="G5" s="3"/>
      <c r="H5" s="3"/>
      <c r="I5" s="3"/>
      <c r="J5" s="4"/>
    </row>
    <row r="6" ht="15.75" customHeight="1"/>
    <row r="7" ht="75.75" customHeight="1">
      <c r="A7" s="5" t="s">
        <v>2</v>
      </c>
      <c r="B7" s="6" t="s">
        <v>127</v>
      </c>
      <c r="C7" s="6" t="s">
        <v>128</v>
      </c>
      <c r="D7" s="6" t="s">
        <v>129</v>
      </c>
      <c r="E7" s="6" t="s">
        <v>130</v>
      </c>
      <c r="F7" s="7" t="s">
        <v>131</v>
      </c>
      <c r="G7" s="8" t="s">
        <v>132</v>
      </c>
      <c r="H7" s="6" t="s">
        <v>9</v>
      </c>
      <c r="I7" s="6" t="s">
        <v>133</v>
      </c>
      <c r="J7" s="6" t="s">
        <v>134</v>
      </c>
      <c r="K7" s="9"/>
      <c r="L7" s="9"/>
      <c r="M7" s="9"/>
      <c r="N7" s="9"/>
      <c r="O7" s="9"/>
      <c r="P7" s="9"/>
      <c r="Q7" s="9"/>
      <c r="R7" s="9"/>
      <c r="S7" s="9"/>
      <c r="T7" s="9"/>
      <c r="U7" s="9"/>
      <c r="V7" s="9"/>
      <c r="W7" s="9"/>
      <c r="X7" s="9"/>
      <c r="Y7" s="9"/>
      <c r="Z7" s="9"/>
    </row>
    <row r="8" ht="50.25" customHeight="1">
      <c r="A8" s="10" t="s">
        <v>12</v>
      </c>
      <c r="B8" s="11" t="s">
        <v>135</v>
      </c>
      <c r="C8" s="12" t="s">
        <v>136</v>
      </c>
      <c r="D8" s="13" t="s">
        <v>137</v>
      </c>
      <c r="E8" s="14">
        <v>0.0</v>
      </c>
      <c r="F8" s="15">
        <f t="shared" ref="F8:F10" si="1">E8*1.19</f>
        <v>0</v>
      </c>
      <c r="G8" s="16">
        <f t="shared" ref="G8:G10" si="2">(E8+F8)/3900</f>
        <v>0</v>
      </c>
      <c r="H8" s="17">
        <f t="shared" ref="H8:H10" si="3">G8*3900</f>
        <v>0</v>
      </c>
      <c r="I8" s="18" t="s">
        <v>16</v>
      </c>
      <c r="J8" s="19"/>
    </row>
    <row r="9" ht="50.25" customHeight="1">
      <c r="A9" s="10" t="s">
        <v>18</v>
      </c>
      <c r="B9" s="20" t="s">
        <v>138</v>
      </c>
      <c r="C9" s="12" t="s">
        <v>139</v>
      </c>
      <c r="D9" s="11" t="s">
        <v>137</v>
      </c>
      <c r="E9" s="15">
        <v>0.0</v>
      </c>
      <c r="F9" s="15">
        <f t="shared" si="1"/>
        <v>0</v>
      </c>
      <c r="G9" s="16">
        <f t="shared" si="2"/>
        <v>0</v>
      </c>
      <c r="H9" s="17">
        <f t="shared" si="3"/>
        <v>0</v>
      </c>
      <c r="I9" s="18" t="s">
        <v>16</v>
      </c>
      <c r="J9" s="21"/>
    </row>
    <row r="10" ht="50.25" customHeight="1">
      <c r="A10" s="10" t="s">
        <v>23</v>
      </c>
      <c r="B10" s="11" t="s">
        <v>140</v>
      </c>
      <c r="C10" s="12" t="s">
        <v>141</v>
      </c>
      <c r="D10" s="11" t="s">
        <v>137</v>
      </c>
      <c r="E10" s="14">
        <v>0.0</v>
      </c>
      <c r="F10" s="15">
        <f t="shared" si="1"/>
        <v>0</v>
      </c>
      <c r="G10" s="16">
        <f t="shared" si="2"/>
        <v>0</v>
      </c>
      <c r="H10" s="17">
        <f t="shared" si="3"/>
        <v>0</v>
      </c>
      <c r="I10" s="18" t="s">
        <v>16</v>
      </c>
      <c r="J10" s="22" t="s">
        <v>142</v>
      </c>
    </row>
    <row r="11" ht="15.0" hidden="1" customHeight="1">
      <c r="A11" s="23"/>
      <c r="B11" s="24"/>
      <c r="C11" s="24"/>
      <c r="D11" s="24"/>
      <c r="E11" s="24"/>
      <c r="F11" s="24"/>
      <c r="G11" s="24"/>
      <c r="H11" s="24"/>
      <c r="I11" s="25" t="s">
        <v>16</v>
      </c>
      <c r="J11" s="24"/>
    </row>
    <row r="12" ht="12.75" customHeight="1"/>
    <row r="13" ht="138.75" customHeight="1">
      <c r="A13" s="26" t="s">
        <v>143</v>
      </c>
      <c r="B13" s="3"/>
      <c r="C13" s="3"/>
      <c r="D13" s="3"/>
      <c r="E13" s="3"/>
      <c r="F13" s="3"/>
      <c r="G13" s="3"/>
      <c r="H13" s="3"/>
      <c r="I13" s="3"/>
      <c r="J13" s="4"/>
    </row>
    <row r="14" ht="12.75" customHeight="1"/>
    <row r="15" ht="75.0" customHeight="1">
      <c r="A15" s="26" t="s">
        <v>144</v>
      </c>
      <c r="B15" s="3"/>
      <c r="C15" s="3"/>
      <c r="D15" s="3"/>
      <c r="E15" s="3"/>
      <c r="F15" s="3"/>
      <c r="G15" s="3"/>
      <c r="H15" s="3"/>
      <c r="I15" s="3"/>
      <c r="J15" s="4"/>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27"/>
      <c r="E26" s="27"/>
      <c r="F26" s="28"/>
      <c r="G26" s="28"/>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2:H2"/>
    <mergeCell ref="A5:J5"/>
    <mergeCell ref="A13:J13"/>
    <mergeCell ref="A15:J15"/>
  </mergeCells>
  <hyperlinks>
    <hyperlink r:id="rId1" ref="C8"/>
    <hyperlink r:id="rId2" ref="C9"/>
    <hyperlink r:id="rId3" ref="C10"/>
  </hyperlinks>
  <printOptions/>
  <pageMargins bottom="0.75" footer="0.0" header="0.0" left="0.7" right="0.7" top="0.75"/>
  <pageSetup orientation="landscape"/>
  <drawing r:id="rId4"/>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7.88"/>
    <col customWidth="1" min="8" max="8" width="17.0"/>
    <col customWidth="1" min="9" max="10" width="19.13"/>
    <col customWidth="1" min="11" max="26" width="10.0"/>
  </cols>
  <sheetData>
    <row r="1" ht="12.75" customHeight="1"/>
    <row r="2" ht="27.75" customHeight="1">
      <c r="D2" s="1" t="s">
        <v>0</v>
      </c>
    </row>
    <row r="3" ht="12.75" customHeight="1"/>
    <row r="4" ht="12.75" customHeight="1"/>
    <row r="5" ht="43.5" customHeight="1">
      <c r="A5" s="2" t="s">
        <v>1</v>
      </c>
      <c r="B5" s="3"/>
      <c r="C5" s="3"/>
      <c r="D5" s="3"/>
      <c r="E5" s="3"/>
      <c r="F5" s="3"/>
      <c r="G5" s="3"/>
      <c r="H5" s="3"/>
      <c r="I5" s="3"/>
      <c r="J5" s="4"/>
    </row>
    <row r="6" ht="15.75" customHeight="1"/>
    <row r="7" ht="75.75" customHeight="1">
      <c r="A7" s="5" t="s">
        <v>2</v>
      </c>
      <c r="B7" s="6" t="s">
        <v>145</v>
      </c>
      <c r="C7" s="6" t="s">
        <v>146</v>
      </c>
      <c r="D7" s="6" t="s">
        <v>147</v>
      </c>
      <c r="E7" s="6" t="s">
        <v>148</v>
      </c>
      <c r="F7" s="7" t="s">
        <v>149</v>
      </c>
      <c r="G7" s="8" t="s">
        <v>150</v>
      </c>
      <c r="H7" s="6" t="s">
        <v>9</v>
      </c>
      <c r="I7" s="6" t="s">
        <v>151</v>
      </c>
      <c r="J7" s="6" t="s">
        <v>152</v>
      </c>
      <c r="K7" s="9"/>
      <c r="L7" s="9"/>
      <c r="M7" s="9"/>
      <c r="N7" s="9"/>
      <c r="O7" s="9"/>
      <c r="P7" s="9"/>
      <c r="Q7" s="9"/>
      <c r="R7" s="9"/>
      <c r="S7" s="9"/>
      <c r="T7" s="9"/>
      <c r="U7" s="9"/>
      <c r="V7" s="9"/>
      <c r="W7" s="9"/>
      <c r="X7" s="9"/>
      <c r="Y7" s="9"/>
      <c r="Z7" s="9"/>
    </row>
    <row r="8" ht="50.25" customHeight="1">
      <c r="A8" s="10" t="s">
        <v>12</v>
      </c>
      <c r="B8" s="11" t="s">
        <v>153</v>
      </c>
      <c r="C8" s="12" t="s">
        <v>154</v>
      </c>
      <c r="D8" s="13" t="s">
        <v>137</v>
      </c>
      <c r="E8" s="14">
        <v>0.0</v>
      </c>
      <c r="F8" s="15">
        <f>E8*1.19</f>
        <v>0</v>
      </c>
      <c r="G8" s="16">
        <f>(E8+F8)/3900</f>
        <v>0</v>
      </c>
      <c r="H8" s="17">
        <f>G8*3900</f>
        <v>0</v>
      </c>
      <c r="I8" s="18" t="s">
        <v>16</v>
      </c>
      <c r="J8" s="19" t="s">
        <v>155</v>
      </c>
    </row>
    <row r="9" ht="50.25" customHeight="1">
      <c r="A9" s="10" t="s">
        <v>18</v>
      </c>
      <c r="B9" s="20" t="s">
        <v>156</v>
      </c>
      <c r="C9" s="12" t="s">
        <v>157</v>
      </c>
      <c r="D9" s="11" t="s">
        <v>137</v>
      </c>
      <c r="E9" s="15">
        <v>25000.0</v>
      </c>
      <c r="F9" s="15">
        <f t="shared" ref="F9:F10" si="1">E9*0.19</f>
        <v>4750</v>
      </c>
      <c r="G9" s="16">
        <f t="shared" ref="G9:G10" si="2">(E9+F9)/3757</f>
        <v>7.918552036</v>
      </c>
      <c r="H9" s="17">
        <f t="shared" ref="H9:H10" si="3">G9*3757</f>
        <v>29750</v>
      </c>
      <c r="I9" s="18" t="s">
        <v>16</v>
      </c>
      <c r="J9" s="21" t="s">
        <v>158</v>
      </c>
    </row>
    <row r="10" ht="50.25" customHeight="1">
      <c r="A10" s="10" t="s">
        <v>23</v>
      </c>
      <c r="B10" s="11" t="s">
        <v>159</v>
      </c>
      <c r="C10" s="12" t="s">
        <v>160</v>
      </c>
      <c r="D10" s="11" t="s">
        <v>137</v>
      </c>
      <c r="E10" s="14">
        <v>60000.0</v>
      </c>
      <c r="F10" s="15">
        <f t="shared" si="1"/>
        <v>11400</v>
      </c>
      <c r="G10" s="16">
        <f t="shared" si="2"/>
        <v>19.00452489</v>
      </c>
      <c r="H10" s="17">
        <f t="shared" si="3"/>
        <v>71400</v>
      </c>
      <c r="I10" s="18" t="s">
        <v>16</v>
      </c>
      <c r="J10" s="64" t="s">
        <v>161</v>
      </c>
    </row>
    <row r="11" ht="15.0" hidden="1" customHeight="1">
      <c r="A11" s="23"/>
      <c r="B11" s="24"/>
      <c r="C11" s="24"/>
      <c r="D11" s="24"/>
      <c r="E11" s="24"/>
      <c r="F11" s="24"/>
      <c r="G11" s="24"/>
      <c r="H11" s="24"/>
      <c r="I11" s="25" t="s">
        <v>16</v>
      </c>
      <c r="J11" s="24"/>
    </row>
    <row r="12" ht="12.75" customHeight="1"/>
    <row r="13" ht="138.75" customHeight="1">
      <c r="A13" s="26" t="s">
        <v>162</v>
      </c>
      <c r="B13" s="3"/>
      <c r="C13" s="3"/>
      <c r="D13" s="3"/>
      <c r="E13" s="3"/>
      <c r="F13" s="3"/>
      <c r="G13" s="3"/>
      <c r="H13" s="3"/>
      <c r="I13" s="3"/>
      <c r="J13" s="4"/>
    </row>
    <row r="14" ht="12.75" customHeight="1"/>
    <row r="15" ht="75.0" customHeight="1">
      <c r="A15" s="26" t="s">
        <v>163</v>
      </c>
      <c r="B15" s="3"/>
      <c r="C15" s="3"/>
      <c r="D15" s="3"/>
      <c r="E15" s="3"/>
      <c r="F15" s="3"/>
      <c r="G15" s="3"/>
      <c r="H15" s="3"/>
      <c r="I15" s="3"/>
      <c r="J15" s="4"/>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27"/>
      <c r="E26" s="27"/>
      <c r="F26" s="28"/>
      <c r="G26" s="28"/>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2:H2"/>
    <mergeCell ref="A5:J5"/>
    <mergeCell ref="A13:J13"/>
    <mergeCell ref="A15:J15"/>
  </mergeCells>
  <hyperlinks>
    <hyperlink r:id="rId1" ref="C8"/>
    <hyperlink r:id="rId2" ref="C9"/>
    <hyperlink r:id="rId3" ref="C10"/>
  </hyperlinks>
  <printOptions/>
  <pageMargins bottom="0.75" footer="0.0" header="0.0" left="0.7" right="0.7" top="0.75"/>
  <pageSetup orientation="landscape"/>
  <drawing r:id="rId4"/>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7.88"/>
    <col customWidth="1" min="8" max="8" width="17.0"/>
    <col customWidth="1" min="9" max="10" width="19.13"/>
    <col customWidth="1" min="11" max="26" width="10.0"/>
  </cols>
  <sheetData>
    <row r="1" ht="12.75" customHeight="1"/>
    <row r="2" ht="27.75" customHeight="1">
      <c r="D2" s="1" t="s">
        <v>0</v>
      </c>
    </row>
    <row r="3" ht="12.75" customHeight="1"/>
    <row r="4" ht="12.75" customHeight="1"/>
    <row r="5" ht="43.5" customHeight="1">
      <c r="A5" s="2" t="s">
        <v>1</v>
      </c>
      <c r="B5" s="3"/>
      <c r="C5" s="3"/>
      <c r="D5" s="3"/>
      <c r="E5" s="3"/>
      <c r="F5" s="3"/>
      <c r="G5" s="3"/>
      <c r="H5" s="3"/>
      <c r="I5" s="3"/>
      <c r="J5" s="4"/>
    </row>
    <row r="6" ht="15.75" customHeight="1"/>
    <row r="7" ht="75.75" customHeight="1">
      <c r="A7" s="5" t="s">
        <v>2</v>
      </c>
      <c r="B7" s="6" t="s">
        <v>164</v>
      </c>
      <c r="C7" s="6" t="s">
        <v>165</v>
      </c>
      <c r="D7" s="6" t="s">
        <v>166</v>
      </c>
      <c r="E7" s="6" t="s">
        <v>167</v>
      </c>
      <c r="F7" s="7" t="s">
        <v>168</v>
      </c>
      <c r="G7" s="8" t="s">
        <v>169</v>
      </c>
      <c r="H7" s="6" t="s">
        <v>9</v>
      </c>
      <c r="I7" s="6" t="s">
        <v>170</v>
      </c>
      <c r="J7" s="6" t="s">
        <v>171</v>
      </c>
      <c r="K7" s="9"/>
      <c r="L7" s="9"/>
      <c r="M7" s="9"/>
      <c r="N7" s="9"/>
      <c r="O7" s="9"/>
      <c r="P7" s="9"/>
      <c r="Q7" s="9"/>
      <c r="R7" s="9"/>
      <c r="S7" s="9"/>
      <c r="T7" s="9"/>
      <c r="U7" s="9"/>
      <c r="V7" s="9"/>
      <c r="W7" s="9"/>
      <c r="X7" s="9"/>
      <c r="Y7" s="9"/>
      <c r="Z7" s="9"/>
    </row>
    <row r="8" ht="50.25" customHeight="1">
      <c r="A8" s="10" t="s">
        <v>12</v>
      </c>
      <c r="B8" s="11" t="s">
        <v>172</v>
      </c>
      <c r="C8" s="12" t="s">
        <v>173</v>
      </c>
      <c r="D8" s="13" t="s">
        <v>174</v>
      </c>
      <c r="E8" s="14">
        <v>0.0</v>
      </c>
      <c r="F8" s="15">
        <f>E8*1.19</f>
        <v>0</v>
      </c>
      <c r="G8" s="16">
        <f t="shared" ref="G8:G10" si="1">(E8+F8)/3900</f>
        <v>0</v>
      </c>
      <c r="H8" s="17">
        <f t="shared" ref="H8:H10" si="2">G8*3900</f>
        <v>0</v>
      </c>
      <c r="I8" s="18" t="s">
        <v>16</v>
      </c>
      <c r="J8" s="19"/>
    </row>
    <row r="9" ht="50.25" customHeight="1">
      <c r="A9" s="10" t="s">
        <v>18</v>
      </c>
      <c r="B9" s="20" t="s">
        <v>175</v>
      </c>
      <c r="C9" s="12" t="s">
        <v>176</v>
      </c>
      <c r="D9" s="11" t="s">
        <v>174</v>
      </c>
      <c r="E9" s="15">
        <v>0.0</v>
      </c>
      <c r="F9" s="15">
        <f t="shared" ref="F9:F10" si="3">E9*0.19</f>
        <v>0</v>
      </c>
      <c r="G9" s="16">
        <f t="shared" si="1"/>
        <v>0</v>
      </c>
      <c r="H9" s="17">
        <f t="shared" si="2"/>
        <v>0</v>
      </c>
      <c r="I9" s="18" t="s">
        <v>16</v>
      </c>
      <c r="J9" s="21"/>
    </row>
    <row r="10" ht="50.25" customHeight="1">
      <c r="A10" s="10" t="s">
        <v>23</v>
      </c>
      <c r="B10" s="11" t="s">
        <v>177</v>
      </c>
      <c r="C10" s="12" t="s">
        <v>178</v>
      </c>
      <c r="D10" s="11" t="s">
        <v>174</v>
      </c>
      <c r="E10" s="14">
        <v>0.0</v>
      </c>
      <c r="F10" s="15">
        <f t="shared" si="3"/>
        <v>0</v>
      </c>
      <c r="G10" s="16">
        <f t="shared" si="1"/>
        <v>0</v>
      </c>
      <c r="H10" s="17">
        <f t="shared" si="2"/>
        <v>0</v>
      </c>
      <c r="I10" s="18" t="s">
        <v>16</v>
      </c>
      <c r="J10" s="64"/>
    </row>
    <row r="11" ht="15.0" hidden="1" customHeight="1">
      <c r="A11" s="23"/>
      <c r="B11" s="24"/>
      <c r="C11" s="24"/>
      <c r="D11" s="24"/>
      <c r="E11" s="24"/>
      <c r="F11" s="24"/>
      <c r="G11" s="24"/>
      <c r="H11" s="24"/>
      <c r="I11" s="25" t="s">
        <v>16</v>
      </c>
      <c r="J11" s="24"/>
    </row>
    <row r="12" ht="12.75" customHeight="1"/>
    <row r="13" ht="138.75" customHeight="1">
      <c r="A13" s="26" t="s">
        <v>179</v>
      </c>
      <c r="B13" s="3"/>
      <c r="C13" s="3"/>
      <c r="D13" s="3"/>
      <c r="E13" s="3"/>
      <c r="F13" s="3"/>
      <c r="G13" s="3"/>
      <c r="H13" s="3"/>
      <c r="I13" s="3"/>
      <c r="J13" s="4"/>
    </row>
    <row r="14" ht="12.75" customHeight="1"/>
    <row r="15" ht="75.0" customHeight="1">
      <c r="A15" s="26" t="s">
        <v>180</v>
      </c>
      <c r="B15" s="3"/>
      <c r="C15" s="3"/>
      <c r="D15" s="3"/>
      <c r="E15" s="3"/>
      <c r="F15" s="3"/>
      <c r="G15" s="3"/>
      <c r="H15" s="3"/>
      <c r="I15" s="3"/>
      <c r="J15" s="4"/>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27"/>
      <c r="E26" s="27"/>
      <c r="F26" s="28"/>
      <c r="G26" s="28"/>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2:H2"/>
    <mergeCell ref="A5:J5"/>
    <mergeCell ref="A13:J13"/>
    <mergeCell ref="A15:J15"/>
  </mergeCells>
  <hyperlinks>
    <hyperlink r:id="rId1" ref="C8"/>
    <hyperlink r:id="rId2" ref="C9"/>
    <hyperlink r:id="rId3" ref="C10"/>
  </hyperlinks>
  <printOptions/>
  <pageMargins bottom="0.75" footer="0.0" header="0.0" left="0.7" right="0.7" top="0.75"/>
  <pageSetup orientation="landscape"/>
  <drawing r:id="rId4"/>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7.88"/>
    <col customWidth="1" min="8" max="8" width="17.0"/>
    <col customWidth="1" min="9" max="10" width="19.13"/>
    <col customWidth="1" min="11" max="26" width="10.0"/>
  </cols>
  <sheetData>
    <row r="1" ht="12.75" customHeight="1"/>
    <row r="2" ht="27.75" customHeight="1">
      <c r="D2" s="1" t="s">
        <v>0</v>
      </c>
    </row>
    <row r="3" ht="12.75" customHeight="1"/>
    <row r="4" ht="12.75" customHeight="1"/>
    <row r="5" ht="43.5" customHeight="1">
      <c r="A5" s="2" t="s">
        <v>1</v>
      </c>
      <c r="B5" s="3"/>
      <c r="C5" s="3"/>
      <c r="D5" s="3"/>
      <c r="E5" s="3"/>
      <c r="F5" s="3"/>
      <c r="G5" s="3"/>
      <c r="H5" s="3"/>
      <c r="I5" s="3"/>
      <c r="J5" s="4"/>
    </row>
    <row r="6" ht="15.75" customHeight="1"/>
    <row r="7" ht="75.75" customHeight="1">
      <c r="A7" s="5" t="s">
        <v>2</v>
      </c>
      <c r="B7" s="6" t="s">
        <v>181</v>
      </c>
      <c r="C7" s="6" t="s">
        <v>182</v>
      </c>
      <c r="D7" s="6" t="s">
        <v>183</v>
      </c>
      <c r="E7" s="6" t="s">
        <v>184</v>
      </c>
      <c r="F7" s="7" t="s">
        <v>185</v>
      </c>
      <c r="G7" s="8" t="s">
        <v>186</v>
      </c>
      <c r="H7" s="6" t="s">
        <v>9</v>
      </c>
      <c r="I7" s="6" t="s">
        <v>187</v>
      </c>
      <c r="J7" s="6" t="s">
        <v>188</v>
      </c>
      <c r="K7" s="9"/>
      <c r="L7" s="9"/>
      <c r="M7" s="9"/>
      <c r="N7" s="9"/>
      <c r="O7" s="9"/>
      <c r="P7" s="9"/>
      <c r="Q7" s="9"/>
      <c r="R7" s="9"/>
      <c r="S7" s="9"/>
      <c r="T7" s="9"/>
      <c r="U7" s="9"/>
      <c r="V7" s="9"/>
      <c r="W7" s="9"/>
      <c r="X7" s="9"/>
      <c r="Y7" s="9"/>
      <c r="Z7" s="9"/>
    </row>
    <row r="8" ht="50.25" customHeight="1">
      <c r="A8" s="10" t="s">
        <v>12</v>
      </c>
      <c r="B8" s="11" t="s">
        <v>189</v>
      </c>
      <c r="C8" s="12" t="s">
        <v>190</v>
      </c>
      <c r="D8" s="13" t="s">
        <v>191</v>
      </c>
      <c r="E8" s="14">
        <v>400000.0</v>
      </c>
      <c r="F8" s="15">
        <f t="shared" ref="F8:F10" si="1">E8*0.19</f>
        <v>76000</v>
      </c>
      <c r="G8" s="16">
        <f>(E8+F8)/3757</f>
        <v>126.6968326</v>
      </c>
      <c r="H8" s="17">
        <f>G8*3757</f>
        <v>476000</v>
      </c>
      <c r="I8" s="18" t="s">
        <v>16</v>
      </c>
      <c r="J8" s="19"/>
    </row>
    <row r="9" ht="50.25" customHeight="1">
      <c r="A9" s="10" t="s">
        <v>18</v>
      </c>
      <c r="B9" s="20" t="s">
        <v>192</v>
      </c>
      <c r="C9" s="12" t="s">
        <v>193</v>
      </c>
      <c r="D9" s="11" t="s">
        <v>194</v>
      </c>
      <c r="E9" s="15">
        <v>390000.0</v>
      </c>
      <c r="F9" s="15">
        <f t="shared" si="1"/>
        <v>74100</v>
      </c>
      <c r="G9" s="16">
        <f t="shared" ref="G9:G10" si="2">(E9+F9)/3900</f>
        <v>119</v>
      </c>
      <c r="H9" s="17">
        <f t="shared" ref="H9:H10" si="3">G9*3900</f>
        <v>464100</v>
      </c>
      <c r="I9" s="18" t="s">
        <v>16</v>
      </c>
      <c r="J9" s="21"/>
    </row>
    <row r="10" ht="50.25" customHeight="1">
      <c r="A10" s="10" t="s">
        <v>23</v>
      </c>
      <c r="B10" s="11" t="s">
        <v>195</v>
      </c>
      <c r="C10" s="12" t="s">
        <v>196</v>
      </c>
      <c r="D10" s="11" t="s">
        <v>191</v>
      </c>
      <c r="E10" s="14">
        <v>250000.0</v>
      </c>
      <c r="F10" s="15">
        <f t="shared" si="1"/>
        <v>47500</v>
      </c>
      <c r="G10" s="16">
        <f t="shared" si="2"/>
        <v>76.28205128</v>
      </c>
      <c r="H10" s="17">
        <f t="shared" si="3"/>
        <v>297500</v>
      </c>
      <c r="I10" s="18" t="s">
        <v>16</v>
      </c>
      <c r="J10" s="64"/>
    </row>
    <row r="11" ht="15.0" hidden="1" customHeight="1">
      <c r="A11" s="23"/>
      <c r="B11" s="24"/>
      <c r="C11" s="24"/>
      <c r="D11" s="24"/>
      <c r="E11" s="24"/>
      <c r="F11" s="24"/>
      <c r="G11" s="24"/>
      <c r="H11" s="24"/>
      <c r="I11" s="25" t="s">
        <v>16</v>
      </c>
      <c r="J11" s="24"/>
    </row>
    <row r="12" ht="12.75" customHeight="1"/>
    <row r="13" ht="138.75" customHeight="1">
      <c r="A13" s="26" t="s">
        <v>197</v>
      </c>
      <c r="B13" s="3"/>
      <c r="C13" s="3"/>
      <c r="D13" s="3"/>
      <c r="E13" s="3"/>
      <c r="F13" s="3"/>
      <c r="G13" s="3"/>
      <c r="H13" s="3"/>
      <c r="I13" s="3"/>
      <c r="J13" s="4"/>
    </row>
    <row r="14" ht="12.75" customHeight="1"/>
    <row r="15" ht="75.0" customHeight="1">
      <c r="A15" s="26" t="s">
        <v>198</v>
      </c>
      <c r="B15" s="3"/>
      <c r="C15" s="3"/>
      <c r="D15" s="3"/>
      <c r="E15" s="3"/>
      <c r="F15" s="3"/>
      <c r="G15" s="3"/>
      <c r="H15" s="3"/>
      <c r="I15" s="3"/>
      <c r="J15" s="4"/>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27"/>
      <c r="E26" s="27"/>
      <c r="F26" s="28"/>
      <c r="G26" s="28"/>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2:H2"/>
    <mergeCell ref="A5:J5"/>
    <mergeCell ref="A13:J13"/>
    <mergeCell ref="A15:J15"/>
  </mergeCells>
  <hyperlinks>
    <hyperlink r:id="rId1" ref="C8"/>
    <hyperlink r:id="rId2" ref="C9"/>
    <hyperlink r:id="rId3" ref="C10"/>
  </hyperlinks>
  <printOptions/>
  <pageMargins bottom="0.75" footer="0.0" header="0.0" left="0.7" right="0.7" top="0.75"/>
  <pageSetup orientation="landscape"/>
  <drawing r:id="rId4"/>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7.88"/>
    <col customWidth="1" min="8" max="8" width="17.0"/>
    <col customWidth="1" min="9" max="10" width="19.13"/>
    <col customWidth="1" min="11" max="26" width="10.0"/>
  </cols>
  <sheetData>
    <row r="1" ht="12.75" customHeight="1"/>
    <row r="2" ht="27.75" customHeight="1">
      <c r="D2" s="1" t="s">
        <v>0</v>
      </c>
    </row>
    <row r="3" ht="12.75" customHeight="1"/>
    <row r="4" ht="12.75" customHeight="1"/>
    <row r="5" ht="43.5" customHeight="1">
      <c r="A5" s="2" t="s">
        <v>1</v>
      </c>
      <c r="B5" s="3"/>
      <c r="C5" s="3"/>
      <c r="D5" s="3"/>
      <c r="E5" s="3"/>
      <c r="F5" s="3"/>
      <c r="G5" s="3"/>
      <c r="H5" s="3"/>
      <c r="I5" s="3"/>
      <c r="J5" s="4"/>
    </row>
    <row r="6" ht="15.75" customHeight="1"/>
    <row r="7" ht="75.75" customHeight="1">
      <c r="A7" s="5" t="s">
        <v>2</v>
      </c>
      <c r="B7" s="6" t="s">
        <v>199</v>
      </c>
      <c r="C7" s="6" t="s">
        <v>200</v>
      </c>
      <c r="D7" s="6" t="s">
        <v>201</v>
      </c>
      <c r="E7" s="6" t="s">
        <v>202</v>
      </c>
      <c r="F7" s="7" t="s">
        <v>203</v>
      </c>
      <c r="G7" s="8" t="s">
        <v>204</v>
      </c>
      <c r="H7" s="6" t="s">
        <v>9</v>
      </c>
      <c r="I7" s="6" t="s">
        <v>205</v>
      </c>
      <c r="J7" s="6" t="s">
        <v>206</v>
      </c>
      <c r="K7" s="9"/>
      <c r="L7" s="9"/>
      <c r="M7" s="9"/>
      <c r="N7" s="9"/>
      <c r="O7" s="9"/>
      <c r="P7" s="9"/>
      <c r="Q7" s="9"/>
      <c r="R7" s="9"/>
      <c r="S7" s="9"/>
      <c r="T7" s="9"/>
      <c r="U7" s="9"/>
      <c r="V7" s="9"/>
      <c r="W7" s="9"/>
      <c r="X7" s="9"/>
      <c r="Y7" s="9"/>
      <c r="Z7" s="9"/>
    </row>
    <row r="8" ht="50.25" customHeight="1">
      <c r="A8" s="10" t="s">
        <v>12</v>
      </c>
      <c r="B8" s="11" t="s">
        <v>207</v>
      </c>
      <c r="C8" s="12" t="s">
        <v>208</v>
      </c>
      <c r="D8" s="13" t="s">
        <v>191</v>
      </c>
      <c r="E8" s="14">
        <v>0.0</v>
      </c>
      <c r="F8" s="15">
        <f t="shared" ref="F8:F10" si="1">E8*0.19</f>
        <v>0</v>
      </c>
      <c r="G8" s="16">
        <f>(E8+F8)/3757</f>
        <v>0</v>
      </c>
      <c r="H8" s="17">
        <f>G8*3757</f>
        <v>0</v>
      </c>
      <c r="I8" s="18" t="s">
        <v>16</v>
      </c>
      <c r="J8" s="19"/>
    </row>
    <row r="9" ht="50.25" customHeight="1">
      <c r="A9" s="10" t="s">
        <v>18</v>
      </c>
      <c r="B9" s="20" t="s">
        <v>209</v>
      </c>
      <c r="C9" s="12" t="s">
        <v>210</v>
      </c>
      <c r="D9" s="11" t="s">
        <v>194</v>
      </c>
      <c r="E9" s="15">
        <v>0.0</v>
      </c>
      <c r="F9" s="15">
        <f t="shared" si="1"/>
        <v>0</v>
      </c>
      <c r="G9" s="16">
        <f t="shared" ref="G9:G10" si="2">(E9+F9)/3900</f>
        <v>0</v>
      </c>
      <c r="H9" s="17">
        <f t="shared" ref="H9:H10" si="3">G9*3900</f>
        <v>0</v>
      </c>
      <c r="I9" s="18" t="s">
        <v>16</v>
      </c>
      <c r="J9" s="21"/>
    </row>
    <row r="10" ht="50.25" customHeight="1">
      <c r="A10" s="10" t="s">
        <v>23</v>
      </c>
      <c r="B10" s="11" t="s">
        <v>211</v>
      </c>
      <c r="C10" s="12" t="s">
        <v>212</v>
      </c>
      <c r="D10" s="11" t="s">
        <v>191</v>
      </c>
      <c r="E10" s="14">
        <v>0.0</v>
      </c>
      <c r="F10" s="15">
        <f t="shared" si="1"/>
        <v>0</v>
      </c>
      <c r="G10" s="16">
        <f t="shared" si="2"/>
        <v>0</v>
      </c>
      <c r="H10" s="17">
        <f t="shared" si="3"/>
        <v>0</v>
      </c>
      <c r="I10" s="18" t="s">
        <v>16</v>
      </c>
      <c r="J10" s="64"/>
    </row>
    <row r="11" ht="15.0" hidden="1" customHeight="1">
      <c r="A11" s="23"/>
      <c r="B11" s="24"/>
      <c r="C11" s="24"/>
      <c r="D11" s="24"/>
      <c r="E11" s="24"/>
      <c r="F11" s="24"/>
      <c r="G11" s="24"/>
      <c r="H11" s="24"/>
      <c r="I11" s="25" t="s">
        <v>16</v>
      </c>
      <c r="J11" s="24"/>
    </row>
    <row r="12" ht="12.75" customHeight="1"/>
    <row r="13" ht="138.75" customHeight="1">
      <c r="A13" s="26" t="s">
        <v>213</v>
      </c>
      <c r="B13" s="3"/>
      <c r="C13" s="3"/>
      <c r="D13" s="3"/>
      <c r="E13" s="3"/>
      <c r="F13" s="3"/>
      <c r="G13" s="3"/>
      <c r="H13" s="3"/>
      <c r="I13" s="3"/>
      <c r="J13" s="4"/>
    </row>
    <row r="14" ht="12.75" customHeight="1"/>
    <row r="15" ht="75.0" customHeight="1">
      <c r="A15" s="26" t="s">
        <v>214</v>
      </c>
      <c r="B15" s="3"/>
      <c r="C15" s="3"/>
      <c r="D15" s="3"/>
      <c r="E15" s="3"/>
      <c r="F15" s="3"/>
      <c r="G15" s="3"/>
      <c r="H15" s="3"/>
      <c r="I15" s="3"/>
      <c r="J15" s="4"/>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27"/>
      <c r="E26" s="27"/>
      <c r="F26" s="28"/>
      <c r="G26" s="28"/>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2:H2"/>
    <mergeCell ref="A5:J5"/>
    <mergeCell ref="A13:J13"/>
    <mergeCell ref="A15:J15"/>
  </mergeCells>
  <hyperlinks>
    <hyperlink r:id="rId1" ref="C8"/>
    <hyperlink r:id="rId2" ref="C9"/>
    <hyperlink r:id="rId3" ref="C10"/>
  </hyperlinks>
  <printOptions/>
  <pageMargins bottom="0.75" footer="0.0" header="0.0" left="0.7" right="0.7" top="0.75"/>
  <pageSetup orientation="landscape"/>
  <drawing r:id="rId4"/>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7.88"/>
    <col customWidth="1" min="8" max="8" width="17.0"/>
    <col customWidth="1" min="9" max="10" width="19.13"/>
    <col customWidth="1" min="11" max="26" width="10.0"/>
  </cols>
  <sheetData>
    <row r="1" ht="12.75" customHeight="1"/>
    <row r="2" ht="27.75" customHeight="1">
      <c r="D2" s="1" t="s">
        <v>0</v>
      </c>
    </row>
    <row r="3" ht="12.75" customHeight="1"/>
    <row r="4" ht="12.75" customHeight="1"/>
    <row r="5" ht="43.5" customHeight="1">
      <c r="A5" s="2" t="s">
        <v>1</v>
      </c>
      <c r="B5" s="3"/>
      <c r="C5" s="3"/>
      <c r="D5" s="3"/>
      <c r="E5" s="3"/>
      <c r="F5" s="3"/>
      <c r="G5" s="3"/>
      <c r="H5" s="3"/>
      <c r="I5" s="3"/>
      <c r="J5" s="4"/>
    </row>
    <row r="6" ht="15.75" customHeight="1"/>
    <row r="7" ht="75.75" customHeight="1">
      <c r="A7" s="5" t="s">
        <v>2</v>
      </c>
      <c r="B7" s="6" t="s">
        <v>215</v>
      </c>
      <c r="C7" s="6" t="s">
        <v>216</v>
      </c>
      <c r="D7" s="6" t="s">
        <v>217</v>
      </c>
      <c r="E7" s="6" t="s">
        <v>218</v>
      </c>
      <c r="F7" s="7" t="s">
        <v>219</v>
      </c>
      <c r="G7" s="8" t="s">
        <v>220</v>
      </c>
      <c r="H7" s="6" t="s">
        <v>9</v>
      </c>
      <c r="I7" s="6" t="s">
        <v>221</v>
      </c>
      <c r="J7" s="6" t="s">
        <v>222</v>
      </c>
      <c r="K7" s="9"/>
      <c r="L7" s="9"/>
      <c r="M7" s="9"/>
      <c r="N7" s="9"/>
      <c r="O7" s="9"/>
      <c r="P7" s="9"/>
      <c r="Q7" s="9"/>
      <c r="R7" s="9"/>
      <c r="S7" s="9"/>
      <c r="T7" s="9"/>
      <c r="U7" s="9"/>
      <c r="V7" s="9"/>
      <c r="W7" s="9"/>
      <c r="X7" s="9"/>
      <c r="Y7" s="9"/>
      <c r="Z7" s="9"/>
    </row>
    <row r="8" ht="50.25" customHeight="1">
      <c r="A8" s="10" t="s">
        <v>12</v>
      </c>
      <c r="B8" s="11" t="s">
        <v>223</v>
      </c>
      <c r="C8" s="12" t="s">
        <v>224</v>
      </c>
      <c r="D8" s="13" t="s">
        <v>225</v>
      </c>
      <c r="E8" s="14">
        <v>0.0</v>
      </c>
      <c r="F8" s="15">
        <f t="shared" ref="F8:F10" si="1">E8*0.19</f>
        <v>0</v>
      </c>
      <c r="G8" s="16">
        <f>(E8+F8)/3757</f>
        <v>0</v>
      </c>
      <c r="H8" s="17">
        <f>G8*3757</f>
        <v>0</v>
      </c>
      <c r="I8" s="18" t="s">
        <v>16</v>
      </c>
      <c r="J8" s="19"/>
    </row>
    <row r="9" ht="50.25" customHeight="1">
      <c r="A9" s="10" t="s">
        <v>18</v>
      </c>
      <c r="B9" s="20" t="s">
        <v>226</v>
      </c>
      <c r="C9" s="12" t="s">
        <v>227</v>
      </c>
      <c r="D9" s="11" t="s">
        <v>225</v>
      </c>
      <c r="E9" s="15">
        <v>0.0</v>
      </c>
      <c r="F9" s="15">
        <f t="shared" si="1"/>
        <v>0</v>
      </c>
      <c r="G9" s="16">
        <f t="shared" ref="G9:G10" si="2">(E9+F9)/3900</f>
        <v>0</v>
      </c>
      <c r="H9" s="17">
        <f t="shared" ref="H9:H10" si="3">G9*3900</f>
        <v>0</v>
      </c>
      <c r="I9" s="18" t="s">
        <v>16</v>
      </c>
      <c r="J9" s="21"/>
    </row>
    <row r="10" ht="50.25" customHeight="1">
      <c r="A10" s="10" t="s">
        <v>23</v>
      </c>
      <c r="B10" s="11" t="s">
        <v>228</v>
      </c>
      <c r="C10" s="12" t="s">
        <v>229</v>
      </c>
      <c r="D10" s="11" t="s">
        <v>225</v>
      </c>
      <c r="E10" s="14">
        <v>0.0</v>
      </c>
      <c r="F10" s="15">
        <f t="shared" si="1"/>
        <v>0</v>
      </c>
      <c r="G10" s="16">
        <f t="shared" si="2"/>
        <v>0</v>
      </c>
      <c r="H10" s="17">
        <f t="shared" si="3"/>
        <v>0</v>
      </c>
      <c r="I10" s="18" t="s">
        <v>16</v>
      </c>
      <c r="J10" s="64"/>
    </row>
    <row r="11" ht="15.0" hidden="1" customHeight="1">
      <c r="A11" s="23"/>
      <c r="B11" s="24"/>
      <c r="C11" s="24"/>
      <c r="D11" s="24"/>
      <c r="E11" s="24"/>
      <c r="F11" s="24"/>
      <c r="G11" s="24"/>
      <c r="H11" s="24"/>
      <c r="I11" s="25" t="s">
        <v>16</v>
      </c>
      <c r="J11" s="24"/>
    </row>
    <row r="12" ht="12.75" customHeight="1"/>
    <row r="13" ht="138.75" customHeight="1">
      <c r="A13" s="26" t="s">
        <v>230</v>
      </c>
      <c r="B13" s="3"/>
      <c r="C13" s="3"/>
      <c r="D13" s="3"/>
      <c r="E13" s="3"/>
      <c r="F13" s="3"/>
      <c r="G13" s="3"/>
      <c r="H13" s="3"/>
      <c r="I13" s="3"/>
      <c r="J13" s="4"/>
    </row>
    <row r="14" ht="12.75" customHeight="1"/>
    <row r="15" ht="75.0" customHeight="1">
      <c r="A15" s="26" t="s">
        <v>231</v>
      </c>
      <c r="B15" s="3"/>
      <c r="C15" s="3"/>
      <c r="D15" s="3"/>
      <c r="E15" s="3"/>
      <c r="F15" s="3"/>
      <c r="G15" s="3"/>
      <c r="H15" s="3"/>
      <c r="I15" s="3"/>
      <c r="J15" s="4"/>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27"/>
      <c r="E26" s="27"/>
      <c r="F26" s="28"/>
      <c r="G26" s="28"/>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2:H2"/>
    <mergeCell ref="A5:J5"/>
    <mergeCell ref="A13:J13"/>
    <mergeCell ref="A15:J15"/>
  </mergeCells>
  <hyperlinks>
    <hyperlink r:id="rId1" ref="C8"/>
    <hyperlink r:id="rId2" ref="C9"/>
    <hyperlink r:id="rId3" ref="C10"/>
  </hyperlinks>
  <printOptions/>
  <pageMargins bottom="0.75" footer="0.0" header="0.0" left="0.7" right="0.7" top="0.75"/>
  <pageSetup orientation="landscape"/>
  <drawing r:id="rId4"/>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2010-11-08T17:12:00Z</dcterms:created>
  <dc:creator>Administrador</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BC1D366EA1CE449E933783C375295ADF_13</vt:lpwstr>
  </property>
  <property fmtid="{D5CDD505-2E9C-101B-9397-08002B2CF9AE}" pid="3" name="KSOProductBuildVer">
    <vt:lpwstr>3082-12.2.0.23155</vt:lpwstr>
  </property>
</Properties>
</file>